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tabRatio="602"/>
  </bookViews>
  <sheets>
    <sheet name="Added GPD Equations-FOR ERIC" sheetId="2" r:id="rId1"/>
    <sheet name="GENREV FORECASTING WORKSHEET" sheetId="1" r:id="rId2"/>
  </sheets>
  <definedNames>
    <definedName name="_xlnm._FilterDatabase" localSheetId="0" hidden="1">'Added GPD Equations-FOR ERIC'!$A$4:$DI$6</definedName>
    <definedName name="DMp">'Added GPD Equations-FOR ERIC'!#REF!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tc={9C0BE0AD-9FB3-4D48-A4EF-1B951F6BB8F7}</author>
    <author>tc={350C70ED-C488-46E7-9B9D-A03B2AFA2671}</author>
  </authors>
  <commentList>
    <comment ref="G10"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Customer will decide when to run their report and dates
</t>
        </r>
      </text>
    </comment>
    <comment ref="H10"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
        </r>
      </text>
    </comment>
  </commentList>
</comments>
</file>

<file path=xl/sharedStrings.xml><?xml version="1.0" encoding="utf-8"?>
<sst xmlns="http://schemas.openxmlformats.org/spreadsheetml/2006/main" count="305" uniqueCount="135">
  <si>
    <t>FORECAST YEAR:</t>
  </si>
  <si>
    <t>Salesperson</t>
  </si>
  <si>
    <t>Customer Name</t>
  </si>
  <si>
    <t>Jan Sales Forecast</t>
  </si>
  <si>
    <t>Jan Sales Target</t>
  </si>
  <si>
    <t>Jan  GPP Forecast</t>
  </si>
  <si>
    <t>Jan GPD Forecast</t>
  </si>
  <si>
    <t>Jan GPP Target</t>
  </si>
  <si>
    <t>JAN GPD Target</t>
  </si>
  <si>
    <t>Jan  Calls Forecast</t>
  </si>
  <si>
    <t>Jan Calls Target</t>
  </si>
  <si>
    <t>Feb Sales Forecast</t>
  </si>
  <si>
    <t>Feb Sales Target</t>
  </si>
  <si>
    <t>Feb GPP Forecast</t>
  </si>
  <si>
    <t>Feb GPD Forecast</t>
  </si>
  <si>
    <t>Feb GPP Target</t>
  </si>
  <si>
    <t>Feb GPD Target</t>
  </si>
  <si>
    <t>Feb  Calls Forecast</t>
  </si>
  <si>
    <t>Feb Calls Target</t>
  </si>
  <si>
    <t>Mar Sales Forecast</t>
  </si>
  <si>
    <t>Mar Sales Target</t>
  </si>
  <si>
    <t>Mar GPP Forecast</t>
  </si>
  <si>
    <t>Mar GPD Forecast</t>
  </si>
  <si>
    <t>Mar GPP Target</t>
  </si>
  <si>
    <t>Mar GPD Target</t>
  </si>
  <si>
    <t>Mar Calls Forecast</t>
  </si>
  <si>
    <t>Mar Calls Target</t>
  </si>
  <si>
    <t>Apr Sales Forecast</t>
  </si>
  <si>
    <t>Apr Sales Target</t>
  </si>
  <si>
    <t>April GPP Forecast</t>
  </si>
  <si>
    <t>April GPD Forecast</t>
  </si>
  <si>
    <t>April GPP Target</t>
  </si>
  <si>
    <t>April GPD Target</t>
  </si>
  <si>
    <t>Apr Calls Forecast</t>
  </si>
  <si>
    <t>Apr Calls Target</t>
  </si>
  <si>
    <t>May Sales Forecast</t>
  </si>
  <si>
    <t>May Sales Target</t>
  </si>
  <si>
    <t>May GPP Forecast</t>
  </si>
  <si>
    <t>May GPD Forecast</t>
  </si>
  <si>
    <t>May GPP Target</t>
  </si>
  <si>
    <t>May GPD Target</t>
  </si>
  <si>
    <t>May Calls Forecast</t>
  </si>
  <si>
    <t>May Calls Target</t>
  </si>
  <si>
    <t>June Sales Forecast</t>
  </si>
  <si>
    <t>June Sales Target</t>
  </si>
  <si>
    <t>June GPP Forecast</t>
  </si>
  <si>
    <t>June GPD Forecast</t>
  </si>
  <si>
    <t>June GPP Target</t>
  </si>
  <si>
    <t>June GPD Target</t>
  </si>
  <si>
    <t>June Calls Forecast</t>
  </si>
  <si>
    <t>June Calls Target</t>
  </si>
  <si>
    <t>July Sales Forecast</t>
  </si>
  <si>
    <t>July Sales Target</t>
  </si>
  <si>
    <t>July GPP Forecast</t>
  </si>
  <si>
    <t>July GPD Forecast</t>
  </si>
  <si>
    <t>July GPP Target</t>
  </si>
  <si>
    <t>July GPD Target</t>
  </si>
  <si>
    <t>July Calls Forecast</t>
  </si>
  <si>
    <t>July Calls Target</t>
  </si>
  <si>
    <t>Aug Sales Forecast</t>
  </si>
  <si>
    <t>Aug Sales Target</t>
  </si>
  <si>
    <t>Aug GPP Forecast</t>
  </si>
  <si>
    <t>Aug GPD Forecast</t>
  </si>
  <si>
    <t>Aug GPP Target</t>
  </si>
  <si>
    <t>Aug GPD Target</t>
  </si>
  <si>
    <t>Aug Calls Forecast</t>
  </si>
  <si>
    <t>Aug Calls Target</t>
  </si>
  <si>
    <t>Sept Sales Forecast</t>
  </si>
  <si>
    <t>Sept Sales Target</t>
  </si>
  <si>
    <t>Sept GPP Forecast</t>
  </si>
  <si>
    <t>Sept GPD Forecast</t>
  </si>
  <si>
    <t>Sept GPP Target</t>
  </si>
  <si>
    <t>Sept GPD Target</t>
  </si>
  <si>
    <t>Sept Calls Forecast</t>
  </si>
  <si>
    <t>Sept Calls Target</t>
  </si>
  <si>
    <t>Oct Sales Forecast</t>
  </si>
  <si>
    <t>Oct Sales Target</t>
  </si>
  <si>
    <t>Oct GPP Forecast</t>
  </si>
  <si>
    <t>Oct GPD Forecast</t>
  </si>
  <si>
    <t>Oct GPP Target</t>
  </si>
  <si>
    <t>Oct GPD Target</t>
  </si>
  <si>
    <t>Oct Calls Forecast</t>
  </si>
  <si>
    <t>Oct Calls Target</t>
  </si>
  <si>
    <t>Nov Sales Forecast</t>
  </si>
  <si>
    <t>Nov Sales Target</t>
  </si>
  <si>
    <t>Nov GPP Forecast</t>
  </si>
  <si>
    <t>Nov GPD Forecast</t>
  </si>
  <si>
    <t>Nov GPP Target</t>
  </si>
  <si>
    <t>Nov GPD Target</t>
  </si>
  <si>
    <t>Nov Calls Forecast</t>
  </si>
  <si>
    <t>Nov Calls Target</t>
  </si>
  <si>
    <t>Dec Sales Forecast</t>
  </si>
  <si>
    <t>Dec Sales Target</t>
  </si>
  <si>
    <t>Dec GPP Forecast</t>
  </si>
  <si>
    <t>Dec GPD Forecast</t>
  </si>
  <si>
    <t>Dec GPP Target</t>
  </si>
  <si>
    <t>Dec GPD Target</t>
  </si>
  <si>
    <t>Dec Calls Forecast</t>
  </si>
  <si>
    <t>Dec Calls Target</t>
  </si>
  <si>
    <t>Total Sales Forecast</t>
  </si>
  <si>
    <t>Total GPD Forecast</t>
  </si>
  <si>
    <t>Total GPP Forecast</t>
  </si>
  <si>
    <t>Total Sales Target</t>
  </si>
  <si>
    <t>Total GPD Target</t>
  </si>
  <si>
    <t>Total GPP Target</t>
  </si>
  <si>
    <t>Total Calls Forecast</t>
  </si>
  <si>
    <t>Total Calls Target</t>
  </si>
  <si>
    <t>Strategy</t>
  </si>
  <si>
    <t>Potential</t>
  </si>
  <si>
    <t>Current Opportunity</t>
  </si>
  <si>
    <t>Future Opportunity</t>
  </si>
  <si>
    <t>Market Share</t>
  </si>
  <si>
    <t>At Risk</t>
  </si>
  <si>
    <t>Risk Explanation</t>
  </si>
  <si>
    <t>Sales Pro 2</t>
  </si>
  <si>
    <t>Cust1</t>
  </si>
  <si>
    <t>This account was negatively impacted by Covid &amp; is rebounding. We set a target = $204K for yr. and while customer might have actual demand, we may "frontload" them going into 2025. Current opportunity will require 5% price discount. Customer has clearly stated they will always maintain at least 2 suppliers, hence our opportunity values.</t>
  </si>
  <si>
    <t>Cust10</t>
  </si>
  <si>
    <t>This distributor is not growing, but serves as a good channel partner for the local market and does not require in person help.  Handled by IS</t>
  </si>
  <si>
    <t xml:space="preserve">April GPP Target </t>
  </si>
  <si>
    <t xml:space="preserve">This row defines the required format for the cells below in each column                     </t>
  </si>
  <si>
    <t>COULD BE ALPHA NUMERIC/SYMBOLS</t>
  </si>
  <si>
    <t>Dollars (rounded to nearest dollar)</t>
  </si>
  <si>
    <t>Numeric value out to 2 decimal points</t>
  </si>
  <si>
    <t>Numeric value -whole value only</t>
  </si>
  <si>
    <t xml:space="preserve">Alpha numeric </t>
  </si>
  <si>
    <t>Percentage value out to 1 decimal point</t>
  </si>
  <si>
    <t xml:space="preserve">This row shows all the info a salesperson needs to complete. It is all encompassing so that the user coan use this filw outside of the GENREV database. The cells highlighted in red are the ones that will need to be uploaded to the GENREV database. </t>
  </si>
  <si>
    <t>2020 Sales</t>
  </si>
  <si>
    <t>2021 Sales</t>
  </si>
  <si>
    <t>2022 Sales</t>
  </si>
  <si>
    <t>Current Year's Sales (Through XX)</t>
  </si>
  <si>
    <t>Current Year End Projected Sales</t>
  </si>
  <si>
    <t>Risk Reason</t>
  </si>
  <si>
    <r>
      <rPr>
        <b/>
        <sz val="11"/>
        <color theme="1"/>
        <rFont val="Calibri"/>
        <charset val="134"/>
        <scheme val="minor"/>
      </rPr>
      <t xml:space="preserve">Grand totals for </t>
    </r>
    <r>
      <rPr>
        <sz val="11"/>
        <color theme="1"/>
        <rFont val="Calibri"/>
        <charset val="134"/>
        <scheme val="minor"/>
      </rPr>
      <t>each column that has values</t>
    </r>
    <r>
      <rPr>
        <b/>
        <sz val="11"/>
        <color theme="1"/>
        <rFont val="Calibri"/>
        <charset val="134"/>
        <scheme val="minor"/>
      </rPr>
      <t xml:space="preserve">. Instead of putting grand totals at the bottom, I want then at the top.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</si>
</sst>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quot;$&quot;#,##0"/>
  </numFmts>
  <fonts count="24">
    <font>
      <sz val="11"/>
      <color theme="1"/>
      <name val="Calibri"/>
      <charset val="134"/>
      <scheme val="minor"/>
    </font>
    <font>
      <i/>
      <sz val="11"/>
      <color theme="1"/>
      <name val="Calibri"/>
      <charset val="134"/>
      <scheme val="minor"/>
    </font>
    <font>
      <b/>
      <sz val="11"/>
      <color theme="1"/>
      <name val="Calibri"/>
      <charset val="134"/>
      <scheme val="minor"/>
    </font>
    <font>
      <b/>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5" borderId="11" applyNumberFormat="0" applyAlignment="0" applyProtection="0">
      <alignment vertical="center"/>
    </xf>
    <xf numFmtId="0" fontId="13" fillId="6" borderId="12" applyNumberFormat="0" applyAlignment="0" applyProtection="0">
      <alignment vertical="center"/>
    </xf>
    <xf numFmtId="0" fontId="14" fillId="6" borderId="11" applyNumberFormat="0" applyAlignment="0" applyProtection="0">
      <alignment vertical="center"/>
    </xf>
    <xf numFmtId="0" fontId="15" fillId="7"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37">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right"/>
    </xf>
    <xf numFmtId="0" fontId="1" fillId="0" borderId="0" xfId="0" applyFont="1" applyAlignment="1">
      <alignment horizontal="center" vertical="top" wrapText="1"/>
    </xf>
    <xf numFmtId="0" fontId="0" fillId="2" borderId="0" xfId="0" applyFill="1" applyAlignment="1">
      <alignment horizontal="center" wrapText="1"/>
    </xf>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0" xfId="0" applyFont="1" applyAlignment="1">
      <alignment wrapText="1"/>
    </xf>
    <xf numFmtId="0" fontId="2" fillId="0" borderId="0" xfId="0" applyFont="1"/>
    <xf numFmtId="6" fontId="0" fillId="0" borderId="0" xfId="0" applyNumberFormat="1"/>
    <xf numFmtId="0" fontId="2" fillId="3" borderId="2" xfId="0" applyFont="1" applyFill="1" applyBorder="1" applyAlignment="1">
      <alignment wrapText="1"/>
    </xf>
    <xf numFmtId="0" fontId="2" fillId="0" borderId="3" xfId="0" applyFont="1" applyBorder="1" applyAlignment="1">
      <alignment wrapText="1"/>
    </xf>
    <xf numFmtId="0" fontId="2" fillId="3" borderId="4" xfId="0" applyFont="1" applyFill="1" applyBorder="1" applyAlignment="1">
      <alignment wrapText="1"/>
    </xf>
    <xf numFmtId="178" fontId="2" fillId="0" borderId="0" xfId="0" applyNumberFormat="1" applyFont="1" applyAlignment="1">
      <alignment wrapText="1"/>
    </xf>
    <xf numFmtId="0" fontId="0" fillId="0" borderId="0" xfId="0" applyAlignment="1">
      <alignment horizontal="center" vertical="top" wrapText="1"/>
    </xf>
    <xf numFmtId="0" fontId="2" fillId="0" borderId="0" xfId="0" applyFont="1" applyAlignment="1">
      <alignment horizontal="center"/>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179" fontId="0" fillId="0" borderId="0" xfId="0" applyNumberFormat="1" applyAlignment="1">
      <alignment horizontal="center" vertical="center"/>
    </xf>
    <xf numFmtId="178" fontId="0" fillId="0" borderId="0" xfId="3" applyNumberFormat="1" applyFont="1" applyFill="1" applyAlignment="1">
      <alignment horizontal="center" vertical="center"/>
    </xf>
    <xf numFmtId="179" fontId="0" fillId="0" borderId="0" xfId="2" applyNumberFormat="1" applyFont="1" applyFill="1" applyAlignment="1">
      <alignment horizontal="center" vertical="center"/>
    </xf>
    <xf numFmtId="178" fontId="0" fillId="0" borderId="0" xfId="0" applyNumberFormat="1" applyAlignment="1">
      <alignment horizontal="center" vertical="center"/>
    </xf>
    <xf numFmtId="0" fontId="0" fillId="0" borderId="0" xfId="0" applyAlignment="1">
      <alignment horizontal="center" vertical="top"/>
    </xf>
    <xf numFmtId="4" fontId="0" fillId="0" borderId="0" xfId="0" applyNumberFormat="1" applyAlignment="1">
      <alignment horizontal="center" vertical="center"/>
    </xf>
    <xf numFmtId="179" fontId="0" fillId="0" borderId="0" xfId="0" applyNumberFormat="1"/>
    <xf numFmtId="178" fontId="0" fillId="0" borderId="0" xfId="0" applyNumberFormat="1"/>
    <xf numFmtId="2" fontId="0" fillId="0" borderId="0" xfId="0" applyNumberFormat="1" applyAlignment="1">
      <alignment horizontal="center" vertical="center"/>
    </xf>
    <xf numFmtId="0" fontId="0" fillId="0" borderId="0" xfId="0" applyAlignment="1">
      <alignment horizontal="center" vertical="center"/>
    </xf>
    <xf numFmtId="179" fontId="0" fillId="0" borderId="0" xfId="0" applyNumberFormat="1" applyAlignment="1">
      <alignment horizontal="center" vertical="center" wrapText="1"/>
    </xf>
    <xf numFmtId="178" fontId="0" fillId="0" borderId="0" xfId="0" applyNumberFormat="1" applyAlignment="1">
      <alignment horizontal="center" vertical="center" wrapText="1"/>
    </xf>
    <xf numFmtId="179" fontId="3" fillId="0" borderId="0" xfId="0" applyNumberFormat="1" applyFont="1" applyAlignment="1">
      <alignment horizontal="center" vertical="center" wrapText="1"/>
    </xf>
    <xf numFmtId="3" fontId="0" fillId="0" borderId="0" xfId="0" applyNumberFormat="1" applyAlignment="1">
      <alignment horizontal="center" vertical="center"/>
    </xf>
    <xf numFmtId="179" fontId="3" fillId="0" borderId="0" xfId="0" applyNumberFormat="1" applyFont="1" applyAlignment="1">
      <alignment horizontal="center" vertical="center"/>
    </xf>
    <xf numFmtId="179" fontId="0" fillId="0" borderId="0" xfId="0" applyNumberFormat="1" applyAlignment="1">
      <alignment horizontal="center"/>
    </xf>
    <xf numFmtId="0" fontId="2" fillId="0" borderId="7"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3">
    <dxf>
      <fill>
        <patternFill patternType="none"/>
      </fill>
      <alignment horizontal="center"/>
    </dxf>
    <dxf>
      <fill>
        <patternFill patternType="none"/>
      </fill>
      <alignment horizont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font>
        <name val="Calibri"/>
        <scheme val="none"/>
        <family val="2"/>
        <b val="0"/>
        <i val="0"/>
        <strike val="0"/>
        <u val="none"/>
        <sz val="11"/>
        <color theme="1"/>
      </font>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4" formatCode="#,##0.00"/>
      <fill>
        <patternFill patternType="none"/>
      </fill>
      <alignment horizontal="center" vertical="center"/>
    </dxf>
    <dxf>
      <numFmt numFmtId="4"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font>
        <name val="Calibri"/>
        <scheme val="none"/>
        <family val="2"/>
        <b val="0"/>
        <i val="0"/>
        <strike val="0"/>
        <u val="none"/>
        <sz val="11"/>
        <color theme="1"/>
      </font>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font>
        <name val="Calibri"/>
        <scheme val="none"/>
        <family val="2"/>
        <b val="0"/>
        <i val="0"/>
        <strike val="0"/>
        <u val="none"/>
        <sz val="11"/>
        <color theme="1"/>
      </font>
      <numFmt numFmtId="179" formatCode="&quot;$&quot;#,##0"/>
      <fill>
        <patternFill patternType="none"/>
      </fill>
      <alignment horizontal="center" vertical="center"/>
    </dxf>
    <dxf>
      <numFmt numFmtId="178" formatCode="0.0%"/>
      <fill>
        <patternFill patternType="none"/>
      </fill>
      <alignment horizontal="center" vertical="center"/>
    </dxf>
    <dxf>
      <font>
        <name val="Calibri"/>
        <scheme val="none"/>
        <family val="2"/>
        <b val="0"/>
        <i val="0"/>
        <strike val="0"/>
        <u val="none"/>
        <sz val="11"/>
        <color theme="1"/>
      </font>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font>
        <name val="Calibri"/>
        <scheme val="none"/>
        <family val="2"/>
        <b val="0"/>
        <i val="0"/>
        <strike val="0"/>
        <u val="none"/>
        <sz val="11"/>
        <color theme="1"/>
      </font>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2" formatCode="0.00"/>
      <fill>
        <patternFill patternType="none"/>
      </fill>
      <alignment horizontal="center" vertical="center"/>
    </dxf>
    <dxf>
      <numFmt numFmtId="2" formatCode="0.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font>
        <name val="Calibri"/>
        <scheme val="none"/>
        <family val="2"/>
        <b val="0"/>
        <i val="0"/>
        <strike val="0"/>
        <u val="none"/>
        <sz val="11"/>
        <color theme="1"/>
      </font>
      <numFmt numFmtId="178" formatCode="0.0%"/>
      <fill>
        <patternFill patternType="none"/>
      </fill>
      <alignment horizontal="center" vertical="center"/>
    </dxf>
    <dxf>
      <numFmt numFmtId="3" formatCode="#,##0"/>
      <fill>
        <patternFill patternType="none"/>
      </fill>
      <alignment horizontal="center" vertical="center"/>
    </dxf>
    <dxf>
      <numFmt numFmtId="3" formatCode="#,##0"/>
      <fill>
        <patternFill patternType="none"/>
      </fill>
      <alignment horizontal="center" vertical="center"/>
    </dxf>
    <dxf>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9" formatCode="&quot;$&quot;#,##0"/>
      <fill>
        <patternFill patternType="none"/>
      </fill>
      <alignment horizontal="center" vertical="center"/>
    </dxf>
    <dxf>
      <numFmt numFmtId="178" formatCode="0.0%"/>
      <fill>
        <patternFill patternType="none"/>
      </fill>
      <alignment horizontal="center" vertical="center" wrapText="1"/>
    </dxf>
    <dxf>
      <font>
        <name val="Calibri"/>
        <scheme val="none"/>
        <family val="2"/>
        <b val="1"/>
        <i val="0"/>
        <strike val="0"/>
        <u val="none"/>
        <sz val="11"/>
        <color rgb="FFFF0000"/>
      </font>
      <numFmt numFmtId="179" formatCode="&quot;$&quot;#,##0"/>
      <fill>
        <patternFill patternType="none"/>
      </fill>
      <alignment horizontal="center" vertical="center"/>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4:DI6" totalsRowShown="0">
  <autoFilter xmlns:etc="http://www.wps.cn/officeDocument/2017/etCustomData" ref="A4:DI6" etc:filterBottomFollowUsedRange="0"/>
  <sortState ref="A4:DI6">
    <sortCondition ref="B4:B74"/>
  </sortState>
  <tableColumns count="113">
    <tableColumn id="1" name="Salesperson" dataDxfId="0"/>
    <tableColumn id="2" name="Customer Name" dataDxfId="1"/>
    <tableColumn id="12" name="Jan Sales Forecast" dataDxfId="2"/>
    <tableColumn id="13" name="Jan Sales Target" dataDxfId="3"/>
    <tableColumn id="14" name="Jan  GPP Forecast" dataDxfId="4"/>
    <tableColumn id="15" name="Jan GPD Forecast" dataDxfId="5"/>
    <tableColumn id="16" name="Jan GPP Target" dataDxfId="6"/>
    <tableColumn id="17" name="JAN GPD Target" dataDxfId="7"/>
    <tableColumn id="18" name="Jan  Calls Forecast" dataDxfId="8"/>
    <tableColumn id="19" name="Jan Calls Target" dataDxfId="9"/>
    <tableColumn id="20" name="Feb Sales Forecast" dataDxfId="10"/>
    <tableColumn id="21" name="Feb Sales Target" dataDxfId="11"/>
    <tableColumn id="22" name="Feb GPP Forecast" dataDxfId="12"/>
    <tableColumn id="23" name="Feb GPD Forecast" dataDxfId="13"/>
    <tableColumn id="24" name="Feb GPP Target" dataDxfId="14"/>
    <tableColumn id="25" name="Feb GPD Target" dataDxfId="15"/>
    <tableColumn id="26" name="Feb  Calls Forecast" dataDxfId="16"/>
    <tableColumn id="27" name="Feb Calls Target" dataDxfId="17"/>
    <tableColumn id="28" name="Mar Sales Forecast" dataDxfId="18"/>
    <tableColumn id="29" name="Mar Sales Target" dataDxfId="19"/>
    <tableColumn id="30" name="Mar GPP Forecast" dataDxfId="20"/>
    <tableColumn id="31" name="Mar GPD Forecast" dataDxfId="21"/>
    <tableColumn id="32" name="Mar GPP Target" dataDxfId="22"/>
    <tableColumn id="33" name="Mar GPD Target" dataDxfId="23"/>
    <tableColumn id="34" name="Mar Calls Forecast" dataDxfId="24"/>
    <tableColumn id="35" name="Mar Calls Target" dataDxfId="25"/>
    <tableColumn id="36" name="Apr Sales Forecast" dataDxfId="26"/>
    <tableColumn id="37" name="Apr Sales Target" dataDxfId="27"/>
    <tableColumn id="38" name="April GPP Forecast" dataDxfId="28"/>
    <tableColumn id="39" name="April GPD Forecast" dataDxfId="29"/>
    <tableColumn id="40" name="April GPP Target" dataDxfId="30"/>
    <tableColumn id="41" name="April GPD Target" dataDxfId="31"/>
    <tableColumn id="42" name="Apr Calls Forecast" dataDxfId="32"/>
    <tableColumn id="43" name="Apr Calls Target" dataDxfId="33"/>
    <tableColumn id="44" name="May Sales Forecast" dataDxfId="34"/>
    <tableColumn id="45" name="May Sales Target" dataDxfId="35"/>
    <tableColumn id="46" name="May GPP Forecast" dataDxfId="36"/>
    <tableColumn id="47" name="May GPD Forecast" dataDxfId="37"/>
    <tableColumn id="48" name="May GPP Target" dataDxfId="38"/>
    <tableColumn id="49" name="May GPD Target" dataDxfId="39"/>
    <tableColumn id="50" name="May Calls Forecast" dataDxfId="40"/>
    <tableColumn id="51" name="May Calls Target" dataDxfId="41"/>
    <tableColumn id="52" name="June Sales Forecast" dataDxfId="42"/>
    <tableColumn id="53" name="June Sales Target" dataDxfId="43"/>
    <tableColumn id="54" name="June GPP Forecast" dataDxfId="44"/>
    <tableColumn id="55" name="June GPD Forecast" dataDxfId="45"/>
    <tableColumn id="56" name="June GPP Target" dataDxfId="46"/>
    <tableColumn id="57" name="June GPD Target" dataDxfId="47"/>
    <tableColumn id="58" name="June Calls Forecast" dataDxfId="48"/>
    <tableColumn id="59" name="June Calls Target" dataDxfId="49"/>
    <tableColumn id="60" name="July Sales Forecast" dataDxfId="50"/>
    <tableColumn id="61" name="July Sales Target" dataDxfId="51"/>
    <tableColumn id="62" name="July GPP Forecast" dataDxfId="52"/>
    <tableColumn id="63" name="July GPD Forecast" dataDxfId="53"/>
    <tableColumn id="64" name="July GPP Target" dataDxfId="54"/>
    <tableColumn id="65" name="July GPD Target" dataDxfId="55"/>
    <tableColumn id="66" name="July Calls Forecast" dataDxfId="56"/>
    <tableColumn id="67" name="July Calls Target" dataDxfId="57"/>
    <tableColumn id="68" name="Aug Sales Forecast" dataDxfId="58"/>
    <tableColumn id="69" name="Aug Sales Target" dataDxfId="59"/>
    <tableColumn id="70" name="Aug GPP Forecast" dataDxfId="60"/>
    <tableColumn id="71" name="Aug GPD Forecast" dataDxfId="61"/>
    <tableColumn id="72" name="Aug GPP Target" dataDxfId="62"/>
    <tableColumn id="73" name="Aug GPD Target" dataDxfId="63"/>
    <tableColumn id="74" name="Aug Calls Forecast" dataDxfId="64"/>
    <tableColumn id="75" name="Aug Calls Target" dataDxfId="65"/>
    <tableColumn id="76" name="Sept Sales Forecast" dataDxfId="66"/>
    <tableColumn id="77" name="Sept Sales Target" dataDxfId="67"/>
    <tableColumn id="78" name="Sept GPP Forecast" dataDxfId="68"/>
    <tableColumn id="79" name="Sept GPD Forecast" dataDxfId="69"/>
    <tableColumn id="80" name="Sept GPP Target" dataDxfId="70"/>
    <tableColumn id="81" name="Sept GPD Target" dataDxfId="71"/>
    <tableColumn id="82" name="Sept Calls Forecast" dataDxfId="72"/>
    <tableColumn id="83" name="Sept Calls Target" dataDxfId="73"/>
    <tableColumn id="84" name="Oct Sales Forecast" dataDxfId="74"/>
    <tableColumn id="85" name="Oct Sales Target" dataDxfId="75"/>
    <tableColumn id="86" name="Oct GPP Forecast" dataDxfId="76"/>
    <tableColumn id="87" name="Oct GPD Forecast" dataDxfId="77"/>
    <tableColumn id="88" name="Oct GPP Target" dataDxfId="78"/>
    <tableColumn id="89" name="Oct GPD Target" dataDxfId="79"/>
    <tableColumn id="90" name="Oct Calls Forecast" dataDxfId="80"/>
    <tableColumn id="91" name="Oct Calls Target" dataDxfId="81"/>
    <tableColumn id="92" name="Nov Sales Forecast" dataDxfId="82"/>
    <tableColumn id="93" name="Nov Sales Target" dataDxfId="83"/>
    <tableColumn id="94" name="Nov GPP Forecast" dataDxfId="84"/>
    <tableColumn id="95" name="Nov GPD Forecast" dataDxfId="85"/>
    <tableColumn id="96" name="Nov GPP Target" dataDxfId="86"/>
    <tableColumn id="97" name="Nov GPD Target" dataDxfId="87"/>
    <tableColumn id="98" name="Nov Calls Forecast" dataDxfId="88"/>
    <tableColumn id="99" name="Nov Calls Target" dataDxfId="89"/>
    <tableColumn id="100" name="Dec Sales Forecast" dataDxfId="90"/>
    <tableColumn id="101" name="Dec Sales Target" dataDxfId="91"/>
    <tableColumn id="102" name="Dec GPP Forecast" dataDxfId="92"/>
    <tableColumn id="103" name="Dec GPD Forecast" dataDxfId="93"/>
    <tableColumn id="104" name="Dec GPP Target" dataDxfId="94"/>
    <tableColumn id="105" name="Dec GPD Target" dataDxfId="95"/>
    <tableColumn id="106" name="Dec Calls Forecast" dataDxfId="96"/>
    <tableColumn id="107" name="Dec Calls Target" dataDxfId="97"/>
    <tableColumn id="108" name="Total Sales Forecast" dataDxfId="98"/>
    <tableColumn id="109" name="Total GPD Forecast" dataDxfId="99"/>
    <tableColumn id="110" name="Total GPP Forecast" dataDxfId="100">
      <calculatedColumnFormula>CV5/CU5</calculatedColumnFormula>
    </tableColumn>
    <tableColumn id="111" name="Total Sales Target" dataDxfId="101"/>
    <tableColumn id="112" name="Total GPD Target" dataDxfId="102"/>
    <tableColumn id="113" name="Total GPP Target" dataDxfId="103">
      <calculatedColumnFormula>CY5/CX5</calculatedColumnFormula>
    </tableColumn>
    <tableColumn id="114" name="Total Calls Forecast" dataDxfId="104"/>
    <tableColumn id="115" name="Total Calls Target" dataDxfId="105"/>
    <tableColumn id="116" name="Strategy" dataDxfId="106"/>
    <tableColumn id="117" name="Potential" dataDxfId="107"/>
    <tableColumn id="118" name="Current Opportunity" dataDxfId="108"/>
    <tableColumn id="119" name="Future Opportunity" dataDxfId="109"/>
    <tableColumn id="120" name="Market Share" dataDxfId="110">
      <calculatedColumnFormula>CU5/DD5</calculatedColumnFormula>
    </tableColumn>
    <tableColumn id="121" name="At Risk" dataDxfId="111"/>
    <tableColumn id="122" name="Risk Explanation" dataDxfId="11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P8"/>
  <sheetViews>
    <sheetView tabSelected="1" zoomScale="60" zoomScaleNormal="60" workbookViewId="0">
      <selection activeCell="I36" sqref="I36"/>
    </sheetView>
  </sheetViews>
  <sheetFormatPr defaultColWidth="9" defaultRowHeight="15" outlineLevelRow="7"/>
  <cols>
    <col min="1" max="1" width="15.4285714285714" customWidth="1"/>
    <col min="2" max="2" width="17.2857142857143" style="1" customWidth="1"/>
    <col min="3" max="9" width="12.2857142857143" style="1" customWidth="1"/>
    <col min="10" max="10" width="37.8571428571429" customWidth="1"/>
    <col min="11" max="11" width="31.5714285714286" customWidth="1"/>
    <col min="12" max="12" width="18.2857142857143" customWidth="1"/>
    <col min="13" max="13" width="14.2857142857143" customWidth="1"/>
    <col min="14" max="14" width="17.8571428571429" customWidth="1"/>
    <col min="15" max="15" width="13.2857142857143" customWidth="1"/>
    <col min="16" max="17" width="13.5714285714286" customWidth="1"/>
    <col min="18" max="18" width="18.2857142857143" customWidth="1"/>
    <col min="19" max="19" width="13.8571428571429" customWidth="1"/>
    <col min="20" max="20" width="18.7142857142857" customWidth="1"/>
    <col min="21" max="21" width="17" customWidth="1"/>
    <col min="22" max="22" width="17.8571428571429" customWidth="1"/>
    <col min="23" max="23" width="14.1428571428571" customWidth="1"/>
    <col min="24" max="25" width="13.7142857142857" customWidth="1"/>
    <col min="26" max="26" width="18.7142857142857" customWidth="1"/>
    <col min="27" max="27" width="14.1428571428571" customWidth="1"/>
    <col min="28" max="28" width="19" customWidth="1"/>
    <col min="29" max="29" width="17.2857142857143" customWidth="1"/>
    <col min="30" max="30" width="20.2857142857143" customWidth="1"/>
    <col min="31" max="33" width="19.2857142857143" customWidth="1"/>
    <col min="34" max="34" width="20.7142857142857" customWidth="1"/>
    <col min="35" max="35" width="19.7142857142857" customWidth="1"/>
    <col min="36" max="36" width="20.7142857142857" customWidth="1"/>
    <col min="37" max="37" width="20.1428571428571" customWidth="1"/>
    <col min="38" max="38" width="20.7142857142857" customWidth="1"/>
    <col min="39" max="41" width="20.4285714285714" customWidth="1"/>
    <col min="42" max="42" width="20.2857142857143" customWidth="1"/>
    <col min="43" max="43" width="19.5714285714286" customWidth="1"/>
    <col min="44" max="44" width="21.4285714285714" customWidth="1"/>
    <col min="45" max="46" width="20.7142857142857" customWidth="1"/>
    <col min="47" max="49" width="19.5714285714286" customWidth="1"/>
    <col min="50" max="50" width="21" customWidth="1"/>
    <col min="51" max="51" width="20.1428571428571" customWidth="1"/>
    <col min="52" max="52" width="21.7142857142857" customWidth="1"/>
    <col min="53" max="53" width="21.5714285714286" customWidth="1"/>
    <col min="54" max="54" width="20.7142857142857" customWidth="1"/>
    <col min="55" max="57" width="20.4285714285714" customWidth="1"/>
    <col min="58" max="58" width="21.1428571428571" customWidth="1"/>
    <col min="59" max="59" width="21" customWidth="1"/>
    <col min="60" max="61" width="20.8571428571429" customWidth="1"/>
    <col min="62" max="62" width="20.1428571428571" customWidth="1"/>
    <col min="63" max="65" width="19.7142857142857" customWidth="1"/>
    <col min="66" max="66" width="20.4285714285714" customWidth="1"/>
    <col min="67" max="67" width="20.2857142857143" customWidth="1"/>
    <col min="68" max="68" width="21" customWidth="1"/>
    <col min="69" max="69" width="20.7142857142857" customWidth="1"/>
    <col min="70" max="70" width="20.2857142857143" customWidth="1"/>
    <col min="71" max="73" width="19.5714285714286" customWidth="1"/>
    <col min="74" max="74" width="20.5714285714286" customWidth="1"/>
    <col min="75" max="75" width="20.1428571428571" customWidth="1"/>
    <col min="76" max="76" width="21.4285714285714" customWidth="1"/>
    <col min="77" max="77" width="21.2857142857143" customWidth="1"/>
    <col min="78" max="78" width="20.7142857142857" customWidth="1"/>
    <col min="79" max="81" width="20.1428571428571" customWidth="1"/>
    <col min="82" max="82" width="21" customWidth="1"/>
    <col min="83" max="83" width="20.7142857142857" customWidth="1"/>
    <col min="84" max="84" width="20.5714285714286" customWidth="1"/>
    <col min="85" max="85" width="19.8571428571429" customWidth="1"/>
    <col min="86" max="86" width="19.7142857142857" customWidth="1"/>
    <col min="87" max="89" width="18.7142857142857" customWidth="1"/>
    <col min="90" max="90" width="20.1428571428571" customWidth="1"/>
    <col min="91" max="91" width="19.2857142857143" customWidth="1"/>
    <col min="92" max="92" width="21.1428571428571" customWidth="1"/>
    <col min="93" max="94" width="20.2857142857143" customWidth="1"/>
    <col min="95" max="97" width="19.2857142857143" customWidth="1"/>
    <col min="98" max="98" width="20.7142857142857" customWidth="1"/>
    <col min="99" max="99" width="19.7142857142857" customWidth="1"/>
    <col min="100" max="100" width="20.7142857142857" customWidth="1"/>
    <col min="101" max="101" width="20.2857142857143" customWidth="1"/>
    <col min="102" max="102" width="20" customWidth="1"/>
    <col min="103" max="105" width="19.2857142857143" customWidth="1"/>
    <col min="106" max="106" width="20.2857142857143" customWidth="1"/>
    <col min="107" max="107" width="12.2857142857143" customWidth="1"/>
    <col min="108" max="108" width="23.7142857142857" customWidth="1"/>
    <col min="109" max="110" width="22.7142857142857" customWidth="1"/>
    <col min="111" max="111" width="23.7142857142857" customWidth="1"/>
    <col min="112" max="113" width="22.7142857142857" customWidth="1"/>
    <col min="114" max="115" width="23.2857142857143" customWidth="1"/>
    <col min="116" max="116" width="35.7142857142857" customWidth="1"/>
    <col min="117" max="117" width="12.1428571428571" customWidth="1"/>
    <col min="118" max="118" width="21.1428571428571" customWidth="1"/>
    <col min="119" max="119" width="20.1428571428571" customWidth="1"/>
    <col min="120" max="120" width="14.7142857142857" customWidth="1"/>
    <col min="121" max="121" width="12.7142857142857" customWidth="1"/>
    <col min="122" max="122" width="38.2857142857143" customWidth="1"/>
  </cols>
  <sheetData>
    <row r="1" spans="2:2">
      <c r="B1" s="17" t="s">
        <v>0</v>
      </c>
    </row>
    <row r="2" spans="2:2">
      <c r="B2" s="17">
        <v>2025</v>
      </c>
    </row>
    <row r="4" s="16" customFormat="1" ht="31.9" customHeight="1" spans="1:113">
      <c r="A4" s="18" t="s">
        <v>1</v>
      </c>
      <c r="B4" s="19" t="s">
        <v>2</v>
      </c>
      <c r="C4" s="19" t="s">
        <v>3</v>
      </c>
      <c r="D4" s="19" t="s">
        <v>4</v>
      </c>
      <c r="E4" s="19" t="s">
        <v>5</v>
      </c>
      <c r="F4" s="19" t="s">
        <v>6</v>
      </c>
      <c r="G4" s="19" t="s">
        <v>7</v>
      </c>
      <c r="H4" s="19" t="s">
        <v>8</v>
      </c>
      <c r="I4" s="19" t="s">
        <v>9</v>
      </c>
      <c r="J4" s="19" t="s">
        <v>10</v>
      </c>
      <c r="K4" s="19" t="s">
        <v>11</v>
      </c>
      <c r="L4" s="19" t="s">
        <v>12</v>
      </c>
      <c r="M4" s="19" t="s">
        <v>13</v>
      </c>
      <c r="N4" s="19" t="s">
        <v>14</v>
      </c>
      <c r="O4" s="19" t="s">
        <v>15</v>
      </c>
      <c r="P4" s="19" t="s">
        <v>16</v>
      </c>
      <c r="Q4" s="19" t="s">
        <v>17</v>
      </c>
      <c r="R4" s="19" t="s">
        <v>18</v>
      </c>
      <c r="S4" s="19" t="s">
        <v>19</v>
      </c>
      <c r="T4" s="19" t="s">
        <v>20</v>
      </c>
      <c r="U4" s="19" t="s">
        <v>21</v>
      </c>
      <c r="V4" s="19" t="s">
        <v>22</v>
      </c>
      <c r="W4" s="19" t="s">
        <v>23</v>
      </c>
      <c r="X4" s="19" t="s">
        <v>24</v>
      </c>
      <c r="Y4" s="19" t="s">
        <v>25</v>
      </c>
      <c r="Z4" s="19" t="s">
        <v>26</v>
      </c>
      <c r="AA4" s="19" t="s">
        <v>27</v>
      </c>
      <c r="AB4" s="19" t="s">
        <v>28</v>
      </c>
      <c r="AC4" s="19" t="s">
        <v>29</v>
      </c>
      <c r="AD4" s="19" t="s">
        <v>30</v>
      </c>
      <c r="AE4" s="19" t="s">
        <v>31</v>
      </c>
      <c r="AF4" s="19" t="s">
        <v>32</v>
      </c>
      <c r="AG4" s="19" t="s">
        <v>33</v>
      </c>
      <c r="AH4" s="19" t="s">
        <v>34</v>
      </c>
      <c r="AI4" s="19" t="s">
        <v>35</v>
      </c>
      <c r="AJ4" s="19" t="s">
        <v>36</v>
      </c>
      <c r="AK4" s="19" t="s">
        <v>37</v>
      </c>
      <c r="AL4" s="19" t="s">
        <v>38</v>
      </c>
      <c r="AM4" s="19" t="s">
        <v>39</v>
      </c>
      <c r="AN4" s="19" t="s">
        <v>40</v>
      </c>
      <c r="AO4" s="19" t="s">
        <v>41</v>
      </c>
      <c r="AP4" s="19" t="s">
        <v>42</v>
      </c>
      <c r="AQ4" s="19" t="s">
        <v>43</v>
      </c>
      <c r="AR4" s="19" t="s">
        <v>44</v>
      </c>
      <c r="AS4" s="19" t="s">
        <v>45</v>
      </c>
      <c r="AT4" s="19" t="s">
        <v>46</v>
      </c>
      <c r="AU4" s="19" t="s">
        <v>47</v>
      </c>
      <c r="AV4" s="19" t="s">
        <v>48</v>
      </c>
      <c r="AW4" s="19" t="s">
        <v>49</v>
      </c>
      <c r="AX4" s="19" t="s">
        <v>50</v>
      </c>
      <c r="AY4" s="19" t="s">
        <v>51</v>
      </c>
      <c r="AZ4" s="19" t="s">
        <v>52</v>
      </c>
      <c r="BA4" s="19" t="s">
        <v>53</v>
      </c>
      <c r="BB4" s="19" t="s">
        <v>54</v>
      </c>
      <c r="BC4" s="19" t="s">
        <v>55</v>
      </c>
      <c r="BD4" s="19" t="s">
        <v>56</v>
      </c>
      <c r="BE4" s="19" t="s">
        <v>57</v>
      </c>
      <c r="BF4" s="19" t="s">
        <v>58</v>
      </c>
      <c r="BG4" s="19" t="s">
        <v>59</v>
      </c>
      <c r="BH4" s="19" t="s">
        <v>60</v>
      </c>
      <c r="BI4" s="19" t="s">
        <v>61</v>
      </c>
      <c r="BJ4" s="19" t="s">
        <v>62</v>
      </c>
      <c r="BK4" s="19" t="s">
        <v>63</v>
      </c>
      <c r="BL4" s="19" t="s">
        <v>64</v>
      </c>
      <c r="BM4" s="19" t="s">
        <v>65</v>
      </c>
      <c r="BN4" s="19" t="s">
        <v>66</v>
      </c>
      <c r="BO4" s="19" t="s">
        <v>67</v>
      </c>
      <c r="BP4" s="19" t="s">
        <v>68</v>
      </c>
      <c r="BQ4" s="19" t="s">
        <v>69</v>
      </c>
      <c r="BR4" s="19" t="s">
        <v>70</v>
      </c>
      <c r="BS4" s="19" t="s">
        <v>71</v>
      </c>
      <c r="BT4" s="19" t="s">
        <v>72</v>
      </c>
      <c r="BU4" s="19" t="s">
        <v>73</v>
      </c>
      <c r="BV4" s="19" t="s">
        <v>74</v>
      </c>
      <c r="BW4" s="19" t="s">
        <v>75</v>
      </c>
      <c r="BX4" s="19" t="s">
        <v>76</v>
      </c>
      <c r="BY4" s="19" t="s">
        <v>77</v>
      </c>
      <c r="BZ4" s="19" t="s">
        <v>78</v>
      </c>
      <c r="CA4" s="19" t="s">
        <v>79</v>
      </c>
      <c r="CB4" s="19" t="s">
        <v>80</v>
      </c>
      <c r="CC4" s="19" t="s">
        <v>81</v>
      </c>
      <c r="CD4" s="19" t="s">
        <v>82</v>
      </c>
      <c r="CE4" s="19" t="s">
        <v>83</v>
      </c>
      <c r="CF4" s="19" t="s">
        <v>84</v>
      </c>
      <c r="CG4" s="19" t="s">
        <v>85</v>
      </c>
      <c r="CH4" s="19" t="s">
        <v>86</v>
      </c>
      <c r="CI4" s="19" t="s">
        <v>87</v>
      </c>
      <c r="CJ4" s="19" t="s">
        <v>88</v>
      </c>
      <c r="CK4" s="19" t="s">
        <v>89</v>
      </c>
      <c r="CL4" s="19" t="s">
        <v>90</v>
      </c>
      <c r="CM4" s="19" t="s">
        <v>91</v>
      </c>
      <c r="CN4" s="19" t="s">
        <v>92</v>
      </c>
      <c r="CO4" s="19" t="s">
        <v>93</v>
      </c>
      <c r="CP4" s="19" t="s">
        <v>94</v>
      </c>
      <c r="CQ4" s="19" t="s">
        <v>95</v>
      </c>
      <c r="CR4" s="19" t="s">
        <v>96</v>
      </c>
      <c r="CS4" s="19" t="s">
        <v>97</v>
      </c>
      <c r="CT4" s="19" t="s">
        <v>98</v>
      </c>
      <c r="CU4" s="19" t="s">
        <v>99</v>
      </c>
      <c r="CV4" s="19" t="s">
        <v>100</v>
      </c>
      <c r="CW4" s="19" t="s">
        <v>101</v>
      </c>
      <c r="CX4" s="19" t="s">
        <v>102</v>
      </c>
      <c r="CY4" s="19" t="s">
        <v>103</v>
      </c>
      <c r="CZ4" s="19" t="s">
        <v>104</v>
      </c>
      <c r="DA4" s="19" t="s">
        <v>105</v>
      </c>
      <c r="DB4" s="19" t="s">
        <v>106</v>
      </c>
      <c r="DC4" s="19" t="s">
        <v>107</v>
      </c>
      <c r="DD4" s="19" t="s">
        <v>108</v>
      </c>
      <c r="DE4" s="19" t="s">
        <v>109</v>
      </c>
      <c r="DF4" s="19" t="s">
        <v>110</v>
      </c>
      <c r="DG4" s="19" t="s">
        <v>111</v>
      </c>
      <c r="DH4" s="19" t="s">
        <v>112</v>
      </c>
      <c r="DI4" s="36" t="s">
        <v>113</v>
      </c>
    </row>
    <row r="5" spans="1:113">
      <c r="A5" s="1" t="s">
        <v>114</v>
      </c>
      <c r="B5" s="1" t="s">
        <v>115</v>
      </c>
      <c r="C5" s="20">
        <v>12500</v>
      </c>
      <c r="D5" s="20">
        <v>17000</v>
      </c>
      <c r="E5" s="21">
        <v>0.25</v>
      </c>
      <c r="F5" s="22">
        <f>E5*C5</f>
        <v>3125</v>
      </c>
      <c r="G5" s="21">
        <v>0.304</v>
      </c>
      <c r="H5" s="20">
        <f>G5*D5</f>
        <v>5168</v>
      </c>
      <c r="I5" s="25">
        <v>4</v>
      </c>
      <c r="J5" s="25">
        <v>4</v>
      </c>
      <c r="K5" s="20">
        <v>12500</v>
      </c>
      <c r="L5" s="20">
        <v>17000</v>
      </c>
      <c r="M5" s="21">
        <v>0.25</v>
      </c>
      <c r="N5" s="20">
        <f>M5*K5</f>
        <v>3125</v>
      </c>
      <c r="O5" s="21">
        <v>0.304</v>
      </c>
      <c r="P5" s="20">
        <f>O5*L5</f>
        <v>5168</v>
      </c>
      <c r="Q5" s="28">
        <v>3</v>
      </c>
      <c r="R5" s="28">
        <v>4</v>
      </c>
      <c r="S5" s="20">
        <v>13000</v>
      </c>
      <c r="T5" s="20">
        <v>17000</v>
      </c>
      <c r="U5" s="21">
        <v>0.25</v>
      </c>
      <c r="V5" s="20">
        <f>U5*S5</f>
        <v>3250</v>
      </c>
      <c r="W5" s="21">
        <v>0.304</v>
      </c>
      <c r="X5" s="20">
        <f>W5*T5</f>
        <v>5168</v>
      </c>
      <c r="Y5" s="28">
        <v>3</v>
      </c>
      <c r="Z5" s="28">
        <v>4</v>
      </c>
      <c r="AA5" s="20">
        <v>13000</v>
      </c>
      <c r="AB5" s="20">
        <v>17000</v>
      </c>
      <c r="AC5" s="21">
        <v>0.25</v>
      </c>
      <c r="AD5" s="20">
        <f>AC5*AA5</f>
        <v>3250</v>
      </c>
      <c r="AE5" s="21">
        <v>0.304</v>
      </c>
      <c r="AF5" s="20">
        <f>AE5*AB5</f>
        <v>5168</v>
      </c>
      <c r="AG5" s="28">
        <v>3</v>
      </c>
      <c r="AH5" s="28">
        <v>4</v>
      </c>
      <c r="AI5" s="20">
        <v>13000</v>
      </c>
      <c r="AJ5" s="20">
        <v>17000</v>
      </c>
      <c r="AK5" s="21">
        <v>0.25</v>
      </c>
      <c r="AL5" s="20">
        <f>AK5*AI5</f>
        <v>3250</v>
      </c>
      <c r="AM5" s="21">
        <v>0.304</v>
      </c>
      <c r="AN5" s="20">
        <f>AM5*AJ5</f>
        <v>5168</v>
      </c>
      <c r="AO5" s="28">
        <v>3</v>
      </c>
      <c r="AP5" s="28">
        <v>4</v>
      </c>
      <c r="AQ5" s="20">
        <v>16000</v>
      </c>
      <c r="AR5" s="20">
        <v>17000</v>
      </c>
      <c r="AS5" s="21">
        <v>0.25</v>
      </c>
      <c r="AT5" s="20">
        <f>AQ5*AS5</f>
        <v>4000</v>
      </c>
      <c r="AU5" s="21">
        <v>0.304</v>
      </c>
      <c r="AV5" s="20">
        <f>AU5*AR5</f>
        <v>5168</v>
      </c>
      <c r="AW5" s="28">
        <v>4</v>
      </c>
      <c r="AX5" s="28">
        <v>4</v>
      </c>
      <c r="AY5" s="20">
        <v>16000</v>
      </c>
      <c r="AZ5" s="20">
        <v>17000</v>
      </c>
      <c r="BA5" s="21">
        <v>0.25</v>
      </c>
      <c r="BB5" s="20">
        <f>BA5*AY5</f>
        <v>4000</v>
      </c>
      <c r="BC5" s="21">
        <v>0.304</v>
      </c>
      <c r="BD5" s="20">
        <f>BC5*AZ5</f>
        <v>5168</v>
      </c>
      <c r="BE5" s="28">
        <v>3</v>
      </c>
      <c r="BF5" s="28">
        <v>4</v>
      </c>
      <c r="BG5" s="20">
        <v>16000</v>
      </c>
      <c r="BH5" s="20">
        <v>17000</v>
      </c>
      <c r="BI5" s="21">
        <v>0.25</v>
      </c>
      <c r="BJ5" s="20">
        <f>BI5*BG5</f>
        <v>4000</v>
      </c>
      <c r="BK5" s="21">
        <v>0.304</v>
      </c>
      <c r="BL5" s="20">
        <f>BK5*BH5</f>
        <v>5168</v>
      </c>
      <c r="BM5" s="28">
        <v>3</v>
      </c>
      <c r="BN5" s="28">
        <v>4</v>
      </c>
      <c r="BO5" s="20">
        <v>16000</v>
      </c>
      <c r="BP5" s="20">
        <v>17000</v>
      </c>
      <c r="BQ5" s="23">
        <v>0.25</v>
      </c>
      <c r="BR5" s="20">
        <f>BQ5*BO5</f>
        <v>4000</v>
      </c>
      <c r="BS5" s="21">
        <v>0.304</v>
      </c>
      <c r="BT5" s="20">
        <f>BS5*BP5</f>
        <v>5168</v>
      </c>
      <c r="BU5" s="28">
        <v>3</v>
      </c>
      <c r="BV5" s="28">
        <v>4</v>
      </c>
      <c r="BW5" s="20">
        <v>16500</v>
      </c>
      <c r="BX5" s="20">
        <v>17000</v>
      </c>
      <c r="BY5" s="21">
        <v>0.25</v>
      </c>
      <c r="BZ5" s="20">
        <f>BY5*BW5</f>
        <v>4125</v>
      </c>
      <c r="CA5" s="21">
        <v>0.304</v>
      </c>
      <c r="CB5" s="22">
        <f>CA5*BX5</f>
        <v>5168</v>
      </c>
      <c r="CC5" s="28">
        <v>3</v>
      </c>
      <c r="CD5" s="28">
        <v>4</v>
      </c>
      <c r="CE5" s="20">
        <v>16500</v>
      </c>
      <c r="CF5" s="20">
        <v>17000</v>
      </c>
      <c r="CG5" s="21">
        <v>0.25</v>
      </c>
      <c r="CH5" s="22">
        <f>CE5*CG5</f>
        <v>4125</v>
      </c>
      <c r="CI5" s="21">
        <v>0.255</v>
      </c>
      <c r="CJ5" s="22">
        <f>CI5*CF5</f>
        <v>4335</v>
      </c>
      <c r="CK5" s="28">
        <v>3</v>
      </c>
      <c r="CL5" s="28">
        <v>4</v>
      </c>
      <c r="CM5" s="20">
        <v>16500</v>
      </c>
      <c r="CN5" s="20">
        <v>17000</v>
      </c>
      <c r="CO5" s="21">
        <v>0.25</v>
      </c>
      <c r="CP5" s="22">
        <f>CO5*CM5</f>
        <v>4125</v>
      </c>
      <c r="CQ5" s="21">
        <v>0.304</v>
      </c>
      <c r="CR5" s="20">
        <f>CQ5*CN5</f>
        <v>5168</v>
      </c>
      <c r="CS5" s="28">
        <v>3</v>
      </c>
      <c r="CT5" s="28">
        <v>3</v>
      </c>
      <c r="CU5" s="20">
        <f>SUM(C5,K5,S5,AA5,AI5,AQ5,AY5,BG5,BO5,BW5,CE5,CM5)</f>
        <v>177500</v>
      </c>
      <c r="CV5" s="20">
        <f>SUM(F5,N5,V5,AD5,AL5,AT5,BA5,BJ5,BR5,BZ5,CH5,CP5)</f>
        <v>40375.25</v>
      </c>
      <c r="CW5" s="23">
        <f>CV5/CU5</f>
        <v>0.227466197183099</v>
      </c>
      <c r="CX5" s="20">
        <f>SUM(D5,L5,T5,AB5,AJ5,AR5,AZ5,BH5,BP5,BX5,CF5,CN5)</f>
        <v>204000</v>
      </c>
      <c r="CY5" s="20">
        <f>SUM(H5,P5,X5,AF5,AN5,AV5,BD5,BL5,BT5,CB5,CJ5,CR5)</f>
        <v>61183</v>
      </c>
      <c r="CZ5" s="21">
        <f>CY5/CX5</f>
        <v>0.299916666666667</v>
      </c>
      <c r="DA5" s="29">
        <f>SUM(I5,Q5,Y5,AG5,AO5,AW5,BE5,BM5,BU5,CC5,CK5,CS5)</f>
        <v>38</v>
      </c>
      <c r="DB5" s="29">
        <f>SUM(J5,R5,Z5,AH5,AP5,AX5,BF5,BN5,BV5,CD5,CL5,CT5)</f>
        <v>47</v>
      </c>
      <c r="DC5" s="29" t="s">
        <v>116</v>
      </c>
      <c r="DD5" s="20">
        <v>500000</v>
      </c>
      <c r="DE5" s="30">
        <v>50000</v>
      </c>
      <c r="DF5" s="30">
        <v>100000</v>
      </c>
      <c r="DG5" s="31">
        <f>CU5/DD5</f>
        <v>0.355</v>
      </c>
      <c r="DH5" s="32"/>
      <c r="DI5" s="2"/>
    </row>
    <row r="6" spans="1:112">
      <c r="A6" s="1" t="s">
        <v>114</v>
      </c>
      <c r="B6" s="1" t="s">
        <v>117</v>
      </c>
      <c r="C6" s="20">
        <v>3000</v>
      </c>
      <c r="D6" s="20">
        <v>3500</v>
      </c>
      <c r="E6" s="23">
        <v>0.45</v>
      </c>
      <c r="F6" s="22">
        <f>E6*C6</f>
        <v>1350</v>
      </c>
      <c r="G6" s="23">
        <v>0.55</v>
      </c>
      <c r="H6" s="20">
        <f>G6*D6</f>
        <v>1925</v>
      </c>
      <c r="I6" s="25">
        <v>1</v>
      </c>
      <c r="J6" s="25">
        <v>1</v>
      </c>
      <c r="K6" s="20">
        <v>3000</v>
      </c>
      <c r="L6" s="20">
        <v>3500</v>
      </c>
      <c r="M6" s="23">
        <v>0.45</v>
      </c>
      <c r="N6" s="20">
        <f>M6*K6</f>
        <v>1350</v>
      </c>
      <c r="O6" s="23">
        <v>0.55</v>
      </c>
      <c r="P6" s="20">
        <f>O6*L6</f>
        <v>1925</v>
      </c>
      <c r="Q6" s="28">
        <v>1</v>
      </c>
      <c r="R6" s="28">
        <v>1</v>
      </c>
      <c r="S6" s="20">
        <v>3000</v>
      </c>
      <c r="T6" s="20">
        <v>3500</v>
      </c>
      <c r="U6" s="23">
        <v>0.45</v>
      </c>
      <c r="V6" s="20">
        <f>U6*S6</f>
        <v>1350</v>
      </c>
      <c r="W6" s="23">
        <v>0.55</v>
      </c>
      <c r="X6" s="20">
        <f>W6*T6</f>
        <v>1925</v>
      </c>
      <c r="Y6" s="28">
        <v>1</v>
      </c>
      <c r="Z6" s="28">
        <v>1</v>
      </c>
      <c r="AA6" s="20">
        <v>3000</v>
      </c>
      <c r="AB6" s="20">
        <v>3500</v>
      </c>
      <c r="AC6" s="23">
        <v>0.45</v>
      </c>
      <c r="AD6" s="20">
        <f>AC6*AA6</f>
        <v>1350</v>
      </c>
      <c r="AE6" s="23">
        <v>0.55</v>
      </c>
      <c r="AF6" s="20">
        <f>AE6*AB6</f>
        <v>1925</v>
      </c>
      <c r="AG6" s="28">
        <v>1</v>
      </c>
      <c r="AH6" s="28">
        <v>1</v>
      </c>
      <c r="AI6" s="20">
        <v>3000</v>
      </c>
      <c r="AJ6" s="20">
        <v>3500</v>
      </c>
      <c r="AK6" s="23">
        <v>0.45</v>
      </c>
      <c r="AL6" s="20">
        <f>AK6*AI6</f>
        <v>1350</v>
      </c>
      <c r="AM6" s="23">
        <v>0.55</v>
      </c>
      <c r="AN6" s="20">
        <f>AM6*AJ6</f>
        <v>1925</v>
      </c>
      <c r="AO6" s="28">
        <v>1</v>
      </c>
      <c r="AP6" s="28">
        <v>1</v>
      </c>
      <c r="AQ6" s="20">
        <v>3000</v>
      </c>
      <c r="AR6" s="20">
        <v>3500</v>
      </c>
      <c r="AS6" s="23">
        <v>0.45</v>
      </c>
      <c r="AT6" s="20">
        <f>AQ6*AS6</f>
        <v>1350</v>
      </c>
      <c r="AU6" s="23">
        <v>0.55</v>
      </c>
      <c r="AV6" s="20">
        <f>AU6*AR6</f>
        <v>1925</v>
      </c>
      <c r="AW6" s="28">
        <v>1</v>
      </c>
      <c r="AX6" s="28">
        <v>1</v>
      </c>
      <c r="AY6" s="20">
        <v>3000</v>
      </c>
      <c r="AZ6" s="20">
        <v>3500</v>
      </c>
      <c r="BA6" s="23">
        <v>0.45</v>
      </c>
      <c r="BB6" s="20">
        <f>BA6*AY6</f>
        <v>1350</v>
      </c>
      <c r="BC6" s="23">
        <v>0.55</v>
      </c>
      <c r="BD6" s="20">
        <f>BC6*AZ6</f>
        <v>1925</v>
      </c>
      <c r="BE6" s="28">
        <v>1</v>
      </c>
      <c r="BF6" s="28">
        <v>1</v>
      </c>
      <c r="BG6" s="20">
        <v>3000</v>
      </c>
      <c r="BH6" s="20">
        <v>3500</v>
      </c>
      <c r="BI6" s="23">
        <v>0.45</v>
      </c>
      <c r="BJ6" s="20">
        <f>BI6*BG6</f>
        <v>1350</v>
      </c>
      <c r="BK6" s="23">
        <v>0.55</v>
      </c>
      <c r="BL6" s="20">
        <f>BK6*BH6</f>
        <v>1925</v>
      </c>
      <c r="BM6" s="28">
        <v>1</v>
      </c>
      <c r="BN6" s="28">
        <v>1</v>
      </c>
      <c r="BO6" s="20">
        <v>3000</v>
      </c>
      <c r="BP6" s="20">
        <v>3500</v>
      </c>
      <c r="BQ6" s="23">
        <v>0.45</v>
      </c>
      <c r="BR6" s="20">
        <f>BQ6*BO6</f>
        <v>1350</v>
      </c>
      <c r="BS6" s="23">
        <v>0.55</v>
      </c>
      <c r="BT6" s="20">
        <f>BS6*BP6</f>
        <v>1925</v>
      </c>
      <c r="BU6" s="28">
        <v>1</v>
      </c>
      <c r="BV6" s="28">
        <v>1</v>
      </c>
      <c r="BW6" s="20">
        <v>3000</v>
      </c>
      <c r="BX6" s="20">
        <v>3500</v>
      </c>
      <c r="BY6" s="23">
        <v>0.45</v>
      </c>
      <c r="BZ6" s="20">
        <f>BY6*BW6</f>
        <v>1350</v>
      </c>
      <c r="CA6" s="23">
        <v>0.55</v>
      </c>
      <c r="CB6" s="22">
        <f>CA6*BX6</f>
        <v>1925</v>
      </c>
      <c r="CC6" s="28">
        <v>1</v>
      </c>
      <c r="CD6" s="28">
        <v>1</v>
      </c>
      <c r="CE6" s="20">
        <v>3000</v>
      </c>
      <c r="CF6" s="20">
        <v>3500</v>
      </c>
      <c r="CG6" s="23">
        <v>0.45</v>
      </c>
      <c r="CH6" s="22">
        <f>CE6*CG6</f>
        <v>1350</v>
      </c>
      <c r="CI6" s="23">
        <v>0.55</v>
      </c>
      <c r="CJ6" s="22">
        <f>CI6*CF6</f>
        <v>1925</v>
      </c>
      <c r="CK6" s="28">
        <v>1</v>
      </c>
      <c r="CL6" s="28">
        <v>1</v>
      </c>
      <c r="CM6" s="20">
        <v>3000</v>
      </c>
      <c r="CN6" s="20">
        <v>3500</v>
      </c>
      <c r="CO6" s="23">
        <v>0.45</v>
      </c>
      <c r="CP6" s="22">
        <f>CO6*CM6</f>
        <v>1350</v>
      </c>
      <c r="CQ6" s="23">
        <v>0.55</v>
      </c>
      <c r="CR6" s="20">
        <f>CQ6*CN6</f>
        <v>1925</v>
      </c>
      <c r="CS6" s="28">
        <v>1</v>
      </c>
      <c r="CT6" s="28">
        <v>1</v>
      </c>
      <c r="CU6" s="20">
        <f>SUM(C6,K6,S6,AA6,AI6,AQ6,AY6,BG6,BO6,BW6,CE6,CM6)</f>
        <v>36000</v>
      </c>
      <c r="CV6" s="20">
        <f>SUM(F6,N6,V6,AD6,AL6,AT6,BA6,BJ6,BR6,BZ6,CH6,CP6)</f>
        <v>14850.45</v>
      </c>
      <c r="CW6" s="23">
        <f>CV6/CU6</f>
        <v>0.4125125</v>
      </c>
      <c r="CX6" s="20">
        <f>SUM(D6,L6,T6,AB6,AJ6,AR6,AZ6,BH6,BP6,BX6,CF6,CN6)</f>
        <v>42000</v>
      </c>
      <c r="CY6" s="20">
        <f>SUM(H6,P6,X6,AF6,AN6,AV6,BD6,BL6,BT6,CB6,CJ6,CR6)</f>
        <v>23100</v>
      </c>
      <c r="CZ6" s="21">
        <f>CY6/CX6</f>
        <v>0.55</v>
      </c>
      <c r="DA6" s="33">
        <f>SUM(I6,Q6,Y6,AG6,AO6,AW6,BE6,BM6,BU6,CC6,CK6,CS6)</f>
        <v>12</v>
      </c>
      <c r="DB6" s="33">
        <f>SUM(J6,R6,Z6,AH6,AP6,AX6,BF6,BN6,BV6,CD6,CL6,CT6)</f>
        <v>12</v>
      </c>
      <c r="DC6" s="29" t="s">
        <v>118</v>
      </c>
      <c r="DD6" s="20">
        <v>60000</v>
      </c>
      <c r="DE6" s="20"/>
      <c r="DF6" s="20"/>
      <c r="DG6" s="31">
        <f>CU6/DD6</f>
        <v>0.6</v>
      </c>
      <c r="DH6" s="34"/>
    </row>
    <row r="7" spans="1:17">
      <c r="A7" s="24"/>
      <c r="B7" s="24"/>
      <c r="C7" s="24"/>
      <c r="D7" s="24"/>
      <c r="E7" s="24"/>
      <c r="F7" s="24"/>
      <c r="G7" s="24"/>
      <c r="H7" s="24"/>
      <c r="I7" s="24"/>
      <c r="J7" s="24"/>
      <c r="K7" s="24"/>
      <c r="L7" s="26"/>
      <c r="M7" s="26"/>
      <c r="O7" s="26"/>
      <c r="Q7" s="27"/>
    </row>
    <row r="8" spans="15:120">
      <c r="O8" s="27"/>
      <c r="DD8" s="35"/>
      <c r="DM8" s="35"/>
      <c r="DN8" s="35"/>
      <c r="DO8" s="35"/>
      <c r="DP8" s="27"/>
    </row>
  </sheetData>
  <mergeCells count="1">
    <mergeCell ref="A7:K7"/>
  </mergeCells>
  <pageMargins left="0" right="0" top="0" bottom="0" header="0.3" footer="0.3"/>
  <pageSetup paperSize="1" scale="50" orientation="landscape"/>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CM12"/>
  <sheetViews>
    <sheetView topLeftCell="A4" workbookViewId="0">
      <selection activeCell="C10" sqref="C10"/>
    </sheetView>
  </sheetViews>
  <sheetFormatPr defaultColWidth="9" defaultRowHeight="15"/>
  <cols>
    <col min="1" max="1" width="26.7142857142857" customWidth="1"/>
    <col min="2" max="2" width="18" customWidth="1"/>
    <col min="3" max="3" width="21.4285714285714" customWidth="1"/>
    <col min="4" max="5" width="13.1428571428571" customWidth="1"/>
    <col min="6" max="6" width="14.8571428571429" customWidth="1"/>
    <col min="7" max="8" width="15.7142857142857" customWidth="1"/>
    <col min="9" max="9" width="16" customWidth="1"/>
    <col min="10" max="10" width="14.2857142857143" customWidth="1"/>
    <col min="11" max="11" width="8.57142857142857" customWidth="1"/>
    <col min="12" max="12" width="13.5714285714286" customWidth="1"/>
    <col min="13" max="13" width="9.28571428571429" customWidth="1"/>
    <col min="14" max="14" width="13.8571428571429" customWidth="1"/>
    <col min="15" max="15" width="16.2857142857143" customWidth="1"/>
    <col min="16" max="16" width="14.5714285714286" customWidth="1"/>
    <col min="17" max="17" width="8.57142857142857" customWidth="1"/>
    <col min="18" max="18" width="13.7142857142857" customWidth="1"/>
    <col min="19" max="19" width="9.28571428571429" customWidth="1"/>
    <col min="20" max="20" width="14.1428571428571" customWidth="1"/>
    <col min="21" max="21" width="16.7142857142857" customWidth="1"/>
    <col min="22" max="22" width="15" customWidth="1"/>
    <col min="23" max="23" width="8.57142857142857" customWidth="1"/>
    <col min="24" max="24" width="14.2857142857143" customWidth="1"/>
    <col min="25" max="25" width="9.28571428571429" customWidth="1"/>
    <col min="26" max="26" width="14.5714285714286" customWidth="1"/>
    <col min="27" max="27" width="16.2857142857143" customWidth="1"/>
    <col min="28" max="28" width="14.5714285714286" customWidth="1"/>
    <col min="29" max="29" width="8.71428571428571" customWidth="1"/>
    <col min="30" max="30" width="14.5714285714286" customWidth="1"/>
    <col min="31" max="31" width="9.28571428571429" customWidth="1"/>
    <col min="32" max="32" width="14.1428571428571" customWidth="1"/>
    <col min="33" max="33" width="17" customWidth="1"/>
    <col min="34" max="34" width="15.2857142857143" customWidth="1"/>
    <col min="35" max="35" width="8.71428571428571" customWidth="1"/>
    <col min="36" max="36" width="14.5714285714286" customWidth="1"/>
    <col min="37" max="37" width="9.28571428571429" customWidth="1"/>
    <col min="38" max="38" width="14.8571428571429" customWidth="1"/>
    <col min="39" max="39" width="17.2857142857143" customWidth="1"/>
    <col min="40" max="40" width="15.4285714285714" customWidth="1"/>
    <col min="41" max="41" width="8.71428571428571" customWidth="1"/>
    <col min="42" max="42" width="14.7142857142857" customWidth="1"/>
    <col min="43" max="43" width="9.28571428571429" customWidth="1"/>
    <col min="44" max="44" width="15" customWidth="1"/>
    <col min="45" max="45" width="16.4285714285714" customWidth="1"/>
    <col min="46" max="46" width="14.7142857142857" customWidth="1"/>
    <col min="47" max="47" width="8.57142857142857" customWidth="1"/>
    <col min="48" max="48" width="14" customWidth="1"/>
    <col min="49" max="49" width="9.28571428571429" customWidth="1"/>
    <col min="50" max="50" width="14.2857142857143" customWidth="1"/>
    <col min="51" max="51" width="16.5714285714286" customWidth="1"/>
    <col min="52" max="52" width="14.8571428571429" customWidth="1"/>
    <col min="53" max="53" width="8.57142857142857" customWidth="1"/>
    <col min="54" max="54" width="14.1428571428571" customWidth="1"/>
    <col min="55" max="55" width="9.28571428571429" customWidth="1"/>
    <col min="56" max="56" width="14.4285714285714" customWidth="1"/>
    <col min="57" max="57" width="17" customWidth="1"/>
    <col min="58" max="58" width="15.2857142857143" customWidth="1"/>
    <col min="59" max="59" width="8.71428571428571" customWidth="1"/>
    <col min="60" max="60" width="14.5714285714286" customWidth="1"/>
    <col min="61" max="61" width="9.28571428571429" customWidth="1"/>
    <col min="62" max="62" width="14.8571428571429" customWidth="1"/>
    <col min="63" max="63" width="16.1428571428571" customWidth="1"/>
    <col min="64" max="64" width="14.4285714285714" customWidth="1"/>
    <col min="65" max="65" width="8.57142857142857" customWidth="1"/>
    <col min="66" max="66" width="13.7142857142857" customWidth="1"/>
    <col min="67" max="67" width="9.28571428571429" customWidth="1"/>
    <col min="68" max="68" width="14" customWidth="1"/>
    <col min="69" max="69" width="16.7142857142857" customWidth="1"/>
    <col min="70" max="70" width="15" customWidth="1"/>
    <col min="71" max="71" width="8.57142857142857" customWidth="1"/>
    <col min="72" max="72" width="14.2857142857143" customWidth="1"/>
    <col min="73" max="73" width="9.28571428571429" customWidth="1"/>
    <col min="74" max="74" width="14.5714285714286" customWidth="1"/>
    <col min="75" max="75" width="16.2857142857143" customWidth="1"/>
    <col min="76" max="76" width="14.7142857142857" customWidth="1"/>
    <col min="77" max="77" width="8.57142857142857" customWidth="1"/>
    <col min="78" max="78" width="13.8571428571429" customWidth="1"/>
    <col min="79" max="79" width="9.28571428571429" customWidth="1"/>
    <col min="80" max="80" width="14.2857142857143" customWidth="1"/>
    <col min="81" max="81" width="17.5714285714286" customWidth="1"/>
    <col min="82" max="82" width="15.7142857142857" customWidth="1"/>
    <col min="83" max="83" width="17.2857142857143" customWidth="1"/>
    <col min="84" max="84" width="15.2857142857143" customWidth="1"/>
    <col min="87" max="88" width="12.1428571428571" customWidth="1"/>
    <col min="89" max="89" width="11.5714285714286" customWidth="1"/>
  </cols>
  <sheetData>
    <row r="5" spans="2:3">
      <c r="B5" s="3" t="s">
        <v>0</v>
      </c>
      <c r="C5">
        <v>2024</v>
      </c>
    </row>
    <row r="8" spans="30:30">
      <c r="AD8" t="s">
        <v>119</v>
      </c>
    </row>
    <row r="9" s="1" customFormat="1" ht="75.75" spans="1:91">
      <c r="A9" s="4" t="s">
        <v>120</v>
      </c>
      <c r="B9" s="5" t="s">
        <v>121</v>
      </c>
      <c r="C9" s="5" t="s">
        <v>121</v>
      </c>
      <c r="D9" s="5" t="s">
        <v>122</v>
      </c>
      <c r="E9" s="5" t="s">
        <v>122</v>
      </c>
      <c r="F9" s="5" t="s">
        <v>122</v>
      </c>
      <c r="G9" s="5" t="s">
        <v>122</v>
      </c>
      <c r="H9" s="5" t="s">
        <v>122</v>
      </c>
      <c r="I9" s="5" t="s">
        <v>122</v>
      </c>
      <c r="J9" s="5" t="s">
        <v>122</v>
      </c>
      <c r="K9" s="5" t="s">
        <v>123</v>
      </c>
      <c r="L9" s="5" t="s">
        <v>123</v>
      </c>
      <c r="M9" s="5" t="s">
        <v>124</v>
      </c>
      <c r="N9" s="5" t="s">
        <v>124</v>
      </c>
      <c r="O9" s="5" t="s">
        <v>122</v>
      </c>
      <c r="P9" s="5" t="s">
        <v>122</v>
      </c>
      <c r="Q9" s="5" t="s">
        <v>123</v>
      </c>
      <c r="R9" s="5" t="s">
        <v>123</v>
      </c>
      <c r="S9" s="5" t="s">
        <v>124</v>
      </c>
      <c r="T9" s="5" t="s">
        <v>124</v>
      </c>
      <c r="U9" s="5" t="s">
        <v>122</v>
      </c>
      <c r="V9" s="5" t="s">
        <v>122</v>
      </c>
      <c r="W9" s="5" t="s">
        <v>123</v>
      </c>
      <c r="X9" s="5" t="s">
        <v>123</v>
      </c>
      <c r="Y9" s="5" t="s">
        <v>124</v>
      </c>
      <c r="Z9" s="5" t="s">
        <v>124</v>
      </c>
      <c r="AA9" s="5" t="s">
        <v>122</v>
      </c>
      <c r="AB9" s="5" t="s">
        <v>122</v>
      </c>
      <c r="AC9" s="5" t="s">
        <v>123</v>
      </c>
      <c r="AD9" s="5" t="s">
        <v>123</v>
      </c>
      <c r="AE9" s="5" t="s">
        <v>124</v>
      </c>
      <c r="AF9" s="5" t="s">
        <v>124</v>
      </c>
      <c r="AG9" s="5" t="s">
        <v>122</v>
      </c>
      <c r="AH9" s="5" t="s">
        <v>122</v>
      </c>
      <c r="AI9" s="5" t="s">
        <v>123</v>
      </c>
      <c r="AJ9" s="5" t="s">
        <v>123</v>
      </c>
      <c r="AK9" s="5" t="s">
        <v>124</v>
      </c>
      <c r="AL9" s="5" t="s">
        <v>124</v>
      </c>
      <c r="AM9" s="5" t="s">
        <v>122</v>
      </c>
      <c r="AN9" s="5" t="s">
        <v>122</v>
      </c>
      <c r="AO9" s="5" t="s">
        <v>123</v>
      </c>
      <c r="AP9" s="5" t="s">
        <v>123</v>
      </c>
      <c r="AQ9" s="5" t="s">
        <v>124</v>
      </c>
      <c r="AR9" s="5" t="s">
        <v>124</v>
      </c>
      <c r="AS9" s="5" t="s">
        <v>122</v>
      </c>
      <c r="AT9" s="5" t="s">
        <v>122</v>
      </c>
      <c r="AU9" s="5" t="s">
        <v>123</v>
      </c>
      <c r="AV9" s="5" t="s">
        <v>123</v>
      </c>
      <c r="AW9" s="5" t="s">
        <v>124</v>
      </c>
      <c r="AX9" s="5" t="s">
        <v>124</v>
      </c>
      <c r="AY9" s="5" t="s">
        <v>122</v>
      </c>
      <c r="AZ9" s="5" t="s">
        <v>122</v>
      </c>
      <c r="BA9" s="5" t="s">
        <v>123</v>
      </c>
      <c r="BB9" s="5" t="s">
        <v>123</v>
      </c>
      <c r="BC9" s="5" t="s">
        <v>124</v>
      </c>
      <c r="BD9" s="5" t="s">
        <v>124</v>
      </c>
      <c r="BE9" s="5" t="s">
        <v>122</v>
      </c>
      <c r="BF9" s="5" t="s">
        <v>122</v>
      </c>
      <c r="BG9" s="5" t="s">
        <v>123</v>
      </c>
      <c r="BH9" s="5" t="s">
        <v>123</v>
      </c>
      <c r="BI9" s="5" t="s">
        <v>124</v>
      </c>
      <c r="BJ9" s="5" t="s">
        <v>124</v>
      </c>
      <c r="BK9" s="5" t="s">
        <v>122</v>
      </c>
      <c r="BL9" s="5" t="s">
        <v>122</v>
      </c>
      <c r="BM9" s="5" t="s">
        <v>123</v>
      </c>
      <c r="BN9" s="5" t="s">
        <v>123</v>
      </c>
      <c r="BO9" s="5" t="s">
        <v>124</v>
      </c>
      <c r="BP9" s="5" t="s">
        <v>124</v>
      </c>
      <c r="BQ9" s="5" t="s">
        <v>122</v>
      </c>
      <c r="BR9" s="5" t="s">
        <v>122</v>
      </c>
      <c r="BS9" s="5" t="s">
        <v>123</v>
      </c>
      <c r="BT9" s="5" t="s">
        <v>123</v>
      </c>
      <c r="BU9" s="5" t="s">
        <v>124</v>
      </c>
      <c r="BV9" s="5" t="s">
        <v>124</v>
      </c>
      <c r="BW9" s="5" t="s">
        <v>122</v>
      </c>
      <c r="BX9" s="5" t="s">
        <v>122</v>
      </c>
      <c r="BY9" s="5" t="s">
        <v>123</v>
      </c>
      <c r="BZ9" s="5" t="s">
        <v>123</v>
      </c>
      <c r="CA9" s="5" t="s">
        <v>124</v>
      </c>
      <c r="CB9" s="5" t="s">
        <v>124</v>
      </c>
      <c r="CC9" s="5" t="s">
        <v>122</v>
      </c>
      <c r="CD9" s="5" t="s">
        <v>122</v>
      </c>
      <c r="CE9" s="5" t="s">
        <v>124</v>
      </c>
      <c r="CF9" s="5" t="s">
        <v>124</v>
      </c>
      <c r="CG9" s="5" t="s">
        <v>125</v>
      </c>
      <c r="CH9" s="5" t="s">
        <v>122</v>
      </c>
      <c r="CI9" s="5" t="s">
        <v>122</v>
      </c>
      <c r="CJ9" s="5" t="s">
        <v>122</v>
      </c>
      <c r="CK9" s="5" t="s">
        <v>126</v>
      </c>
      <c r="CL9" s="5" t="s">
        <v>122</v>
      </c>
      <c r="CM9" s="5" t="s">
        <v>125</v>
      </c>
    </row>
    <row r="10" s="2" customFormat="1" ht="165.75" spans="1:91">
      <c r="A10" s="6" t="s">
        <v>127</v>
      </c>
      <c r="B10" s="7" t="s">
        <v>1</v>
      </c>
      <c r="C10" s="8" t="s">
        <v>2</v>
      </c>
      <c r="D10" s="8" t="s">
        <v>128</v>
      </c>
      <c r="E10" s="8" t="s">
        <v>129</v>
      </c>
      <c r="F10" s="8" t="s">
        <v>130</v>
      </c>
      <c r="G10" s="8" t="s">
        <v>131</v>
      </c>
      <c r="H10" s="8" t="s">
        <v>132</v>
      </c>
      <c r="I10" s="12" t="s">
        <v>3</v>
      </c>
      <c r="J10" s="12" t="s">
        <v>4</v>
      </c>
      <c r="K10" s="12" t="s">
        <v>5</v>
      </c>
      <c r="L10" s="12" t="s">
        <v>7</v>
      </c>
      <c r="M10" s="12" t="s">
        <v>9</v>
      </c>
      <c r="N10" s="12" t="s">
        <v>10</v>
      </c>
      <c r="O10" s="12" t="s">
        <v>11</v>
      </c>
      <c r="P10" s="12" t="s">
        <v>12</v>
      </c>
      <c r="Q10" s="12" t="s">
        <v>13</v>
      </c>
      <c r="R10" s="12" t="s">
        <v>15</v>
      </c>
      <c r="S10" s="12" t="s">
        <v>17</v>
      </c>
      <c r="T10" s="12" t="s">
        <v>18</v>
      </c>
      <c r="U10" s="12" t="s">
        <v>19</v>
      </c>
      <c r="V10" s="12" t="s">
        <v>20</v>
      </c>
      <c r="W10" s="12" t="s">
        <v>21</v>
      </c>
      <c r="X10" s="12" t="s">
        <v>23</v>
      </c>
      <c r="Y10" s="12" t="s">
        <v>25</v>
      </c>
      <c r="Z10" s="12" t="s">
        <v>26</v>
      </c>
      <c r="AA10" s="12" t="s">
        <v>27</v>
      </c>
      <c r="AB10" s="12" t="s">
        <v>28</v>
      </c>
      <c r="AC10" s="12" t="s">
        <v>29</v>
      </c>
      <c r="AD10" s="12" t="s">
        <v>31</v>
      </c>
      <c r="AE10" s="12" t="s">
        <v>33</v>
      </c>
      <c r="AF10" s="12" t="s">
        <v>34</v>
      </c>
      <c r="AG10" s="12" t="s">
        <v>35</v>
      </c>
      <c r="AH10" s="12" t="s">
        <v>36</v>
      </c>
      <c r="AI10" s="12" t="s">
        <v>37</v>
      </c>
      <c r="AJ10" s="12" t="s">
        <v>39</v>
      </c>
      <c r="AK10" s="12" t="s">
        <v>41</v>
      </c>
      <c r="AL10" s="12" t="s">
        <v>42</v>
      </c>
      <c r="AM10" s="12" t="s">
        <v>43</v>
      </c>
      <c r="AN10" s="12" t="s">
        <v>44</v>
      </c>
      <c r="AO10" s="12" t="s">
        <v>45</v>
      </c>
      <c r="AP10" s="12" t="s">
        <v>47</v>
      </c>
      <c r="AQ10" s="12" t="s">
        <v>49</v>
      </c>
      <c r="AR10" s="12" t="s">
        <v>50</v>
      </c>
      <c r="AS10" s="12" t="s">
        <v>51</v>
      </c>
      <c r="AT10" s="12" t="s">
        <v>52</v>
      </c>
      <c r="AU10" s="12" t="s">
        <v>53</v>
      </c>
      <c r="AV10" s="12" t="s">
        <v>55</v>
      </c>
      <c r="AW10" s="12" t="s">
        <v>57</v>
      </c>
      <c r="AX10" s="12" t="s">
        <v>58</v>
      </c>
      <c r="AY10" s="12" t="s">
        <v>59</v>
      </c>
      <c r="AZ10" s="12" t="s">
        <v>60</v>
      </c>
      <c r="BA10" s="12" t="s">
        <v>61</v>
      </c>
      <c r="BB10" s="12" t="s">
        <v>63</v>
      </c>
      <c r="BC10" s="12" t="s">
        <v>65</v>
      </c>
      <c r="BD10" s="12" t="s">
        <v>66</v>
      </c>
      <c r="BE10" s="12" t="s">
        <v>67</v>
      </c>
      <c r="BF10" s="12" t="s">
        <v>68</v>
      </c>
      <c r="BG10" s="12" t="s">
        <v>69</v>
      </c>
      <c r="BH10" s="12" t="s">
        <v>71</v>
      </c>
      <c r="BI10" s="12" t="s">
        <v>73</v>
      </c>
      <c r="BJ10" s="12" t="s">
        <v>74</v>
      </c>
      <c r="BK10" s="12" t="s">
        <v>75</v>
      </c>
      <c r="BL10" s="12" t="s">
        <v>76</v>
      </c>
      <c r="BM10" s="12" t="s">
        <v>77</v>
      </c>
      <c r="BN10" s="12" t="s">
        <v>79</v>
      </c>
      <c r="BO10" s="12" t="s">
        <v>81</v>
      </c>
      <c r="BP10" s="12" t="s">
        <v>82</v>
      </c>
      <c r="BQ10" s="12" t="s">
        <v>83</v>
      </c>
      <c r="BR10" s="12" t="s">
        <v>84</v>
      </c>
      <c r="BS10" s="12" t="s">
        <v>85</v>
      </c>
      <c r="BT10" s="12" t="s">
        <v>87</v>
      </c>
      <c r="BU10" s="12" t="s">
        <v>89</v>
      </c>
      <c r="BV10" s="12" t="s">
        <v>90</v>
      </c>
      <c r="BW10" s="12" t="s">
        <v>91</v>
      </c>
      <c r="BX10" s="12" t="s">
        <v>92</v>
      </c>
      <c r="BY10" s="12" t="s">
        <v>93</v>
      </c>
      <c r="BZ10" s="12" t="s">
        <v>95</v>
      </c>
      <c r="CA10" s="12" t="s">
        <v>97</v>
      </c>
      <c r="CB10" s="12" t="s">
        <v>98</v>
      </c>
      <c r="CC10" s="8" t="s">
        <v>99</v>
      </c>
      <c r="CD10" s="8" t="s">
        <v>102</v>
      </c>
      <c r="CE10" s="8" t="s">
        <v>105</v>
      </c>
      <c r="CF10" s="8" t="s">
        <v>106</v>
      </c>
      <c r="CG10" s="12" t="s">
        <v>107</v>
      </c>
      <c r="CH10" s="12" t="s">
        <v>108</v>
      </c>
      <c r="CI10" s="12" t="s">
        <v>109</v>
      </c>
      <c r="CJ10" s="12" t="s">
        <v>110</v>
      </c>
      <c r="CK10" s="13" t="s">
        <v>111</v>
      </c>
      <c r="CL10" s="12" t="s">
        <v>112</v>
      </c>
      <c r="CM10" s="14" t="s">
        <v>133</v>
      </c>
    </row>
    <row r="11" ht="75" spans="1:91">
      <c r="A11" s="9" t="s">
        <v>134</v>
      </c>
      <c r="B11" s="10"/>
      <c r="C11" s="10"/>
      <c r="D11" s="10"/>
      <c r="E11" s="10"/>
      <c r="F11" s="10"/>
      <c r="G11" s="9"/>
      <c r="H11" s="9"/>
      <c r="I11" s="10">
        <v>1</v>
      </c>
      <c r="J11" s="10">
        <v>2</v>
      </c>
      <c r="K11" s="10"/>
      <c r="L11" s="10"/>
      <c r="M11" s="10">
        <v>4</v>
      </c>
      <c r="N11" s="10">
        <v>3</v>
      </c>
      <c r="O11" s="10">
        <v>1</v>
      </c>
      <c r="P11" s="10">
        <v>2</v>
      </c>
      <c r="Q11" s="10"/>
      <c r="R11" s="10"/>
      <c r="S11" s="10">
        <v>4</v>
      </c>
      <c r="T11" s="10">
        <v>3</v>
      </c>
      <c r="U11" s="10">
        <v>1</v>
      </c>
      <c r="V11" s="10">
        <v>2</v>
      </c>
      <c r="W11" s="10"/>
      <c r="X11" s="10"/>
      <c r="Y11" s="10">
        <v>4</v>
      </c>
      <c r="Z11" s="10">
        <v>3</v>
      </c>
      <c r="AA11" s="10">
        <v>1</v>
      </c>
      <c r="AB11" s="10">
        <v>2</v>
      </c>
      <c r="AC11" s="10"/>
      <c r="AD11" s="10"/>
      <c r="AE11" s="10">
        <v>4</v>
      </c>
      <c r="AF11" s="10">
        <v>3</v>
      </c>
      <c r="AG11" s="10">
        <v>1</v>
      </c>
      <c r="AH11" s="10">
        <v>2</v>
      </c>
      <c r="AI11" s="10"/>
      <c r="AJ11" s="10"/>
      <c r="AK11" s="10">
        <v>4</v>
      </c>
      <c r="AL11" s="10">
        <v>3</v>
      </c>
      <c r="AM11" s="10">
        <v>1</v>
      </c>
      <c r="AN11" s="10">
        <v>2</v>
      </c>
      <c r="AO11" s="10"/>
      <c r="AP11" s="10"/>
      <c r="AQ11" s="10">
        <v>4</v>
      </c>
      <c r="AR11" s="10">
        <v>3</v>
      </c>
      <c r="AS11" s="10">
        <v>1</v>
      </c>
      <c r="AT11" s="10">
        <v>2</v>
      </c>
      <c r="AU11" s="10"/>
      <c r="AV11" s="10"/>
      <c r="AW11" s="10"/>
      <c r="AX11" s="10">
        <v>4</v>
      </c>
      <c r="AY11" s="10">
        <v>1</v>
      </c>
      <c r="AZ11" s="10">
        <v>2</v>
      </c>
      <c r="BA11" s="10"/>
      <c r="BB11" s="10"/>
      <c r="BC11" s="10">
        <v>4</v>
      </c>
      <c r="BD11" s="10">
        <v>3</v>
      </c>
      <c r="BE11" s="10">
        <v>1</v>
      </c>
      <c r="BF11" s="10">
        <v>2</v>
      </c>
      <c r="BG11" s="10"/>
      <c r="BH11" s="10"/>
      <c r="BI11" s="10">
        <v>4</v>
      </c>
      <c r="BJ11" s="10">
        <v>3</v>
      </c>
      <c r="BK11" s="10">
        <v>1</v>
      </c>
      <c r="BL11" s="10">
        <v>2</v>
      </c>
      <c r="BM11" s="10"/>
      <c r="BN11" s="10"/>
      <c r="BO11" s="10">
        <v>4</v>
      </c>
      <c r="BP11" s="10">
        <v>3</v>
      </c>
      <c r="BQ11" s="10">
        <v>1</v>
      </c>
      <c r="BR11" s="10">
        <v>2</v>
      </c>
      <c r="BS11" s="10"/>
      <c r="BT11" s="10"/>
      <c r="BU11" s="10">
        <v>4</v>
      </c>
      <c r="BV11" s="10">
        <v>3</v>
      </c>
      <c r="BW11" s="10">
        <v>1</v>
      </c>
      <c r="BX11" s="10">
        <v>2</v>
      </c>
      <c r="BY11" s="10"/>
      <c r="BZ11" s="10"/>
      <c r="CA11" s="10"/>
      <c r="CB11" s="10">
        <v>3</v>
      </c>
      <c r="CC11" s="10">
        <f>SUM(I11,O11,U11,AA11,AG11,AM11,AS11,AY11,BE11,BK11,BQ11,BW11)</f>
        <v>12</v>
      </c>
      <c r="CD11" s="10">
        <f>SUM(J11,P11,V11,AB11,AH11,AN11,AT11,AZ11,BF11,BL11,BR11,BX11)</f>
        <v>24</v>
      </c>
      <c r="CE11" s="10">
        <f>SUM(M11,S11,Y11,AE11,AK11,AQ11,AW11,BC11,BI11,BO11,BU11,CA11)</f>
        <v>40</v>
      </c>
      <c r="CF11" s="10">
        <f>SUM(N11,T11,Z11,AF11,AL11,AR11,AX11,BD11,BJ11,BP11,BV11,CB11)</f>
        <v>37</v>
      </c>
      <c r="CG11" s="10"/>
      <c r="CH11" s="10">
        <v>88</v>
      </c>
      <c r="CI11" s="9"/>
      <c r="CJ11" s="9"/>
      <c r="CK11" s="15">
        <f>CC11/CH11</f>
        <v>0.136363636363636</v>
      </c>
      <c r="CL11" s="9"/>
      <c r="CM11" s="9"/>
    </row>
    <row r="12" spans="4:7">
      <c r="D12" s="11"/>
      <c r="E12" s="11"/>
      <c r="F12" s="11"/>
      <c r="G12" s="11"/>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Added GPD Equations-FOR ERIC</vt:lpstr>
      <vt:lpstr>GENREV FORECASTING 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Kitchen 952-412-9068</dc:creator>
  <cp:lastModifiedBy>Rohan Patel</cp:lastModifiedBy>
  <dcterms:created xsi:type="dcterms:W3CDTF">2023-12-18T20:17:00Z</dcterms:created>
  <dcterms:modified xsi:type="dcterms:W3CDTF">2026-03-11T07:45:30Z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8821D9A8A53F406292B5B3190A4B83BA_12</vt:lpwstr>
  </property>
  <property fmtid="{D5CDD505-2E9C-101B-9397-08002B2CF9AE}" pid="3" name="KSOProductBuildVer">
    <vt:lpwstr>1033-12.2.0.23196</vt:lpwstr>
  </property>
</Properties>
</file>