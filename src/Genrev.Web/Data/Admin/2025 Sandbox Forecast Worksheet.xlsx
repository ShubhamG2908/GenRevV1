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https://netorg4135197-my.sharepoint.com/personal/chuck_businessbetterments_com/Documents/GENREV!/IT Path Solutions/Sandbox Info Files/"/>
    </mc:Choice>
  </mc:AlternateContent>
  <xr:revisionPtr revIDLastSave="510" documentId="8_{FD2B7454-A667-403F-ADF3-74C1D2368A6D}" xr6:coauthVersionLast="47" xr6:coauthVersionMax="47" xr10:uidLastSave="{650951B0-0674-4DBC-85A5-E17177DC3C7E}"/>
  <bookViews>
    <workbookView xWindow="-108" yWindow="-108" windowWidth="23256" windowHeight="12576" tabRatio="602" xr2:uid="{B1BFFD86-2CAD-490D-AE4B-59904C1EFD26}"/>
  </bookViews>
  <sheets>
    <sheet name="Added GPD Equations-FOR ERIC" sheetId="2" r:id="rId1"/>
    <sheet name="GENREV FORECASTING WORKSHEET" sheetId="1" r:id="rId2"/>
  </sheets>
  <definedNames>
    <definedName name="_xlnm._FilterDatabase" localSheetId="0" hidden="1">'Added GPD Equations-FOR ERIC'!$A$4:$DR$74</definedName>
    <definedName name="DMp">'Added GPD Equations-FOR ERIC'!$DP$9:$DP$9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Q74" i="2" l="1"/>
  <c r="DO74" i="2"/>
  <c r="DN74" i="2"/>
  <c r="DM74" i="2"/>
  <c r="DK74" i="2"/>
  <c r="DJ74" i="2"/>
  <c r="DH74" i="2"/>
  <c r="DG74" i="2"/>
  <c r="DE74" i="2"/>
  <c r="DD74" i="2"/>
  <c r="DC74" i="2"/>
  <c r="DB74" i="2"/>
  <c r="DA74" i="2"/>
  <c r="CY74" i="2"/>
  <c r="CW74" i="2"/>
  <c r="CV74" i="2"/>
  <c r="CU74" i="2"/>
  <c r="CT74" i="2"/>
  <c r="CS74" i="2"/>
  <c r="CO74" i="2"/>
  <c r="CN74" i="2"/>
  <c r="CQ74" i="2"/>
  <c r="CM74" i="2"/>
  <c r="CL74" i="2"/>
  <c r="CK74" i="2"/>
  <c r="CI74" i="2"/>
  <c r="CG74" i="2"/>
  <c r="CF74" i="2"/>
  <c r="CE74" i="2"/>
  <c r="CD74" i="2"/>
  <c r="CC74" i="2"/>
  <c r="CA74" i="2"/>
  <c r="BY74" i="2"/>
  <c r="BX74" i="2"/>
  <c r="BW74" i="2"/>
  <c r="BV74" i="2"/>
  <c r="BU74" i="2"/>
  <c r="BS74" i="2"/>
  <c r="BQ74" i="2"/>
  <c r="BP74" i="2"/>
  <c r="BN74" i="2"/>
  <c r="BF74" i="2"/>
  <c r="AX74" i="2"/>
  <c r="AP74" i="2"/>
  <c r="AH74" i="2"/>
  <c r="R74" i="2"/>
  <c r="S74" i="2"/>
  <c r="Z74" i="2"/>
  <c r="AA74" i="2"/>
  <c r="AI74" i="2"/>
  <c r="AQ74" i="2"/>
  <c r="AY74" i="2"/>
  <c r="BG74" i="2"/>
  <c r="BO74" i="2"/>
  <c r="BM74" i="2"/>
  <c r="BK74" i="2"/>
  <c r="BI74" i="2"/>
  <c r="BH74" i="2"/>
  <c r="BE74" i="2"/>
  <c r="BC74" i="2"/>
  <c r="BA74" i="2"/>
  <c r="AZ74" i="2"/>
  <c r="AW74" i="2"/>
  <c r="AU74" i="2"/>
  <c r="AS74" i="2"/>
  <c r="AR74" i="2"/>
  <c r="AO74" i="2"/>
  <c r="AM74" i="2"/>
  <c r="AK74" i="2"/>
  <c r="AJ74" i="2"/>
  <c r="AG74" i="2"/>
  <c r="AE74" i="2"/>
  <c r="AC74" i="2"/>
  <c r="AB74" i="2"/>
  <c r="Y74" i="2"/>
  <c r="W74" i="2"/>
  <c r="U74" i="2"/>
  <c r="T74" i="2"/>
  <c r="Q74" i="2"/>
  <c r="O74" i="2"/>
  <c r="D74" i="2"/>
  <c r="E74" i="2"/>
  <c r="F74" i="2"/>
  <c r="G74" i="2"/>
  <c r="H74" i="2"/>
  <c r="I74" i="2"/>
  <c r="J74" i="2"/>
  <c r="K74" i="2"/>
  <c r="L74" i="2"/>
  <c r="M74" i="2"/>
  <c r="C74" i="2"/>
  <c r="DF42" i="2"/>
  <c r="DF43" i="2"/>
  <c r="DF44" i="2"/>
  <c r="DF45" i="2"/>
  <c r="DF46" i="2"/>
  <c r="DF47" i="2"/>
  <c r="DF48" i="2"/>
  <c r="DF49" i="2"/>
  <c r="DF50" i="2"/>
  <c r="DF51" i="2"/>
  <c r="DF52" i="2"/>
  <c r="DF53" i="2"/>
  <c r="DF54" i="2"/>
  <c r="DF55" i="2"/>
  <c r="DF56" i="2"/>
  <c r="DF57" i="2"/>
  <c r="DI42" i="2"/>
  <c r="DI43" i="2"/>
  <c r="DI44" i="2"/>
  <c r="DI45" i="2"/>
  <c r="DI46" i="2"/>
  <c r="DI47" i="2"/>
  <c r="DI48" i="2"/>
  <c r="DI49" i="2"/>
  <c r="DI50" i="2"/>
  <c r="DI51" i="2"/>
  <c r="DI52" i="2"/>
  <c r="DI53" i="2"/>
  <c r="DI54" i="2"/>
  <c r="DI55" i="2"/>
  <c r="DI56" i="2"/>
  <c r="DI57" i="2"/>
  <c r="DP42" i="2"/>
  <c r="DP43" i="2"/>
  <c r="DP44" i="2"/>
  <c r="DP45" i="2"/>
  <c r="DP46" i="2"/>
  <c r="DP47" i="2"/>
  <c r="DP48" i="2"/>
  <c r="DP49" i="2"/>
  <c r="DP50" i="2"/>
  <c r="DP51" i="2"/>
  <c r="DP52" i="2"/>
  <c r="DP53" i="2"/>
  <c r="DP54" i="2"/>
  <c r="DP55" i="2"/>
  <c r="DP56" i="2"/>
  <c r="DP57" i="2"/>
  <c r="DF26" i="2"/>
  <c r="DF27" i="2"/>
  <c r="DF28" i="2"/>
  <c r="DF29" i="2"/>
  <c r="DF30" i="2"/>
  <c r="DF31" i="2"/>
  <c r="DF32" i="2"/>
  <c r="DF33" i="2"/>
  <c r="DF34" i="2"/>
  <c r="DF35" i="2"/>
  <c r="DF36" i="2"/>
  <c r="DF37" i="2"/>
  <c r="DF38" i="2"/>
  <c r="DF39" i="2"/>
  <c r="DF40" i="2"/>
  <c r="DF41" i="2"/>
  <c r="DI26" i="2"/>
  <c r="DI27" i="2"/>
  <c r="DI28" i="2"/>
  <c r="DI29" i="2"/>
  <c r="DI30" i="2"/>
  <c r="DI31" i="2"/>
  <c r="DI32" i="2"/>
  <c r="DI33" i="2"/>
  <c r="DI34" i="2"/>
  <c r="DI35" i="2"/>
  <c r="DI36" i="2"/>
  <c r="DI37" i="2"/>
  <c r="DI38" i="2"/>
  <c r="DI39" i="2"/>
  <c r="DI40" i="2"/>
  <c r="DI41" i="2"/>
  <c r="DP26" i="2"/>
  <c r="DP27" i="2"/>
  <c r="DP28" i="2"/>
  <c r="DP29" i="2"/>
  <c r="DP30" i="2"/>
  <c r="DP31" i="2"/>
  <c r="DP32" i="2"/>
  <c r="DP33" i="2"/>
  <c r="DP34" i="2"/>
  <c r="DP35" i="2"/>
  <c r="DP36" i="2"/>
  <c r="DP37" i="2"/>
  <c r="DP38" i="2"/>
  <c r="DP39" i="2"/>
  <c r="DP40" i="2"/>
  <c r="DP41" i="2"/>
  <c r="DF58" i="2"/>
  <c r="DF59" i="2"/>
  <c r="DF60" i="2"/>
  <c r="DF61" i="2"/>
  <c r="DF62" i="2"/>
  <c r="DF63" i="2"/>
  <c r="DF64" i="2"/>
  <c r="DF65" i="2"/>
  <c r="DI58" i="2"/>
  <c r="DI59" i="2"/>
  <c r="DI60" i="2"/>
  <c r="DI61" i="2"/>
  <c r="DI62" i="2"/>
  <c r="DI63" i="2"/>
  <c r="DI64" i="2"/>
  <c r="DI65" i="2"/>
  <c r="DP58" i="2"/>
  <c r="DP59" i="2"/>
  <c r="DP60" i="2"/>
  <c r="DP61" i="2"/>
  <c r="DP62" i="2"/>
  <c r="DP63" i="2"/>
  <c r="DP64" i="2"/>
  <c r="DP65" i="2"/>
  <c r="DF66" i="2"/>
  <c r="DF67" i="2"/>
  <c r="DF68" i="2"/>
  <c r="DF69" i="2"/>
  <c r="DI66" i="2"/>
  <c r="DI67" i="2"/>
  <c r="DI68" i="2"/>
  <c r="DI69" i="2"/>
  <c r="DP66" i="2"/>
  <c r="DP67" i="2"/>
  <c r="DP68" i="2"/>
  <c r="DP69" i="2"/>
  <c r="DF70" i="2"/>
  <c r="DF71" i="2"/>
  <c r="DI70" i="2"/>
  <c r="DI71" i="2"/>
  <c r="DP70" i="2"/>
  <c r="DP71" i="2"/>
  <c r="DF72" i="2"/>
  <c r="DI72" i="2"/>
  <c r="DP72" i="2"/>
  <c r="DF73" i="2"/>
  <c r="DI73" i="2"/>
  <c r="DP73" i="2"/>
  <c r="Y16" i="2" l="1"/>
  <c r="W16" i="2"/>
  <c r="DJ20" i="2" l="1"/>
  <c r="DJ21" i="2"/>
  <c r="DJ22" i="2"/>
  <c r="DJ23" i="2"/>
  <c r="DJ24" i="2"/>
  <c r="DJ25" i="2"/>
  <c r="DJ6" i="2"/>
  <c r="DJ7" i="2"/>
  <c r="DJ8" i="2"/>
  <c r="DJ9" i="2"/>
  <c r="DJ10" i="2"/>
  <c r="DJ11" i="2"/>
  <c r="DJ12" i="2"/>
  <c r="DJ13" i="2"/>
  <c r="DJ14" i="2"/>
  <c r="DJ15" i="2"/>
  <c r="DJ17" i="2"/>
  <c r="DJ18" i="2"/>
  <c r="BC16" i="2"/>
  <c r="BE16" i="2"/>
  <c r="Q5" i="2"/>
  <c r="K16" i="2"/>
  <c r="K19" i="2"/>
  <c r="K20" i="2"/>
  <c r="K21" i="2"/>
  <c r="K22" i="2"/>
  <c r="K23" i="2"/>
  <c r="K24" i="2"/>
  <c r="K25" i="2"/>
  <c r="K6" i="2"/>
  <c r="K7" i="2"/>
  <c r="K8" i="2"/>
  <c r="K9" i="2"/>
  <c r="K10" i="2"/>
  <c r="K11" i="2"/>
  <c r="K12" i="2"/>
  <c r="K13" i="2"/>
  <c r="K14" i="2"/>
  <c r="K15" i="2"/>
  <c r="K17" i="2"/>
  <c r="K18" i="2"/>
  <c r="K5" i="2"/>
  <c r="CQ16" i="2" l="1"/>
  <c r="CQ19" i="2"/>
  <c r="CQ20" i="2"/>
  <c r="CQ21" i="2"/>
  <c r="CQ22" i="2"/>
  <c r="CQ23" i="2"/>
  <c r="CQ24" i="2"/>
  <c r="CQ25" i="2"/>
  <c r="CQ6" i="2"/>
  <c r="CQ7" i="2"/>
  <c r="CQ8" i="2"/>
  <c r="CQ9" i="2"/>
  <c r="CQ10" i="2"/>
  <c r="CQ11" i="2"/>
  <c r="CQ12" i="2"/>
  <c r="CQ13" i="2"/>
  <c r="CQ14" i="2"/>
  <c r="CQ15" i="2"/>
  <c r="CQ17" i="2"/>
  <c r="CQ18" i="2"/>
  <c r="DK16" i="2"/>
  <c r="DK19" i="2"/>
  <c r="DK20" i="2"/>
  <c r="DK21" i="2"/>
  <c r="DK22" i="2"/>
  <c r="DK23" i="2"/>
  <c r="DK24" i="2"/>
  <c r="DK25" i="2"/>
  <c r="DK6" i="2"/>
  <c r="DK7" i="2"/>
  <c r="DK8" i="2"/>
  <c r="DK9" i="2"/>
  <c r="DK10" i="2"/>
  <c r="DK11" i="2"/>
  <c r="DK12" i="2"/>
  <c r="DK13" i="2"/>
  <c r="DK14" i="2"/>
  <c r="DK15" i="2"/>
  <c r="DK17" i="2"/>
  <c r="DK18" i="2"/>
  <c r="DJ16" i="2"/>
  <c r="DJ19" i="2"/>
  <c r="DD20" i="2"/>
  <c r="DP20" i="2" s="1"/>
  <c r="DD21" i="2"/>
  <c r="DP21" i="2" s="1"/>
  <c r="DD22" i="2"/>
  <c r="DD23" i="2"/>
  <c r="DP23" i="2" s="1"/>
  <c r="DD24" i="2"/>
  <c r="DP24" i="2" s="1"/>
  <c r="DD25" i="2"/>
  <c r="DD6" i="2"/>
  <c r="DD7" i="2"/>
  <c r="DD8" i="2"/>
  <c r="DD9" i="2"/>
  <c r="DD10" i="2"/>
  <c r="DD11" i="2"/>
  <c r="DP11" i="2" s="1"/>
  <c r="DD12" i="2"/>
  <c r="DP12" i="2" s="1"/>
  <c r="DD13" i="2"/>
  <c r="DD14" i="2"/>
  <c r="DD15" i="2"/>
  <c r="DD17" i="2"/>
  <c r="DP17" i="2" s="1"/>
  <c r="DD18" i="2"/>
  <c r="DP18" i="2" s="1"/>
  <c r="DG16" i="2"/>
  <c r="DG19" i="2"/>
  <c r="DG20" i="2"/>
  <c r="DG21" i="2"/>
  <c r="DG22" i="2"/>
  <c r="DG23" i="2"/>
  <c r="DG24" i="2"/>
  <c r="DG25" i="2"/>
  <c r="DG6" i="2"/>
  <c r="DG7" i="2"/>
  <c r="DG8" i="2"/>
  <c r="DG9" i="2"/>
  <c r="DG10" i="2"/>
  <c r="DG11" i="2"/>
  <c r="DG12" i="2"/>
  <c r="DG13" i="2"/>
  <c r="DG14" i="2"/>
  <c r="DG15" i="2"/>
  <c r="DG17" i="2"/>
  <c r="DG18" i="2"/>
  <c r="CY16" i="2"/>
  <c r="CY19" i="2"/>
  <c r="CY20" i="2"/>
  <c r="CY21" i="2"/>
  <c r="CY22" i="2"/>
  <c r="CY23" i="2"/>
  <c r="CY24" i="2"/>
  <c r="CY25" i="2"/>
  <c r="CY6" i="2"/>
  <c r="CY7" i="2"/>
  <c r="CY8" i="2"/>
  <c r="CY9" i="2"/>
  <c r="CY10" i="2"/>
  <c r="CY11" i="2"/>
  <c r="CY12" i="2"/>
  <c r="CY13" i="2"/>
  <c r="CY14" i="2"/>
  <c r="CY15" i="2"/>
  <c r="CY17" i="2"/>
  <c r="CY18" i="2"/>
  <c r="DA16" i="2"/>
  <c r="DA19" i="2"/>
  <c r="DA20" i="2"/>
  <c r="DA21" i="2"/>
  <c r="DA22" i="2"/>
  <c r="DA23" i="2"/>
  <c r="DA24" i="2"/>
  <c r="DA25" i="2"/>
  <c r="DA6" i="2"/>
  <c r="DA7" i="2"/>
  <c r="DA8" i="2"/>
  <c r="DA9" i="2"/>
  <c r="DA10" i="2"/>
  <c r="DA11" i="2"/>
  <c r="DA12" i="2"/>
  <c r="DA13" i="2"/>
  <c r="DA14" i="2"/>
  <c r="DA15" i="2"/>
  <c r="DA17" i="2"/>
  <c r="DA18" i="2"/>
  <c r="CS16" i="2"/>
  <c r="CS19" i="2"/>
  <c r="CS20" i="2"/>
  <c r="CS21" i="2"/>
  <c r="CS22" i="2"/>
  <c r="CS23" i="2"/>
  <c r="CS24" i="2"/>
  <c r="CS25" i="2"/>
  <c r="CS6" i="2"/>
  <c r="CS7" i="2"/>
  <c r="CS8" i="2"/>
  <c r="CS9" i="2"/>
  <c r="CS10" i="2"/>
  <c r="CS11" i="2"/>
  <c r="CS12" i="2"/>
  <c r="CS13" i="2"/>
  <c r="CS14" i="2"/>
  <c r="CS15" i="2"/>
  <c r="CS17" i="2"/>
  <c r="CS18" i="2"/>
  <c r="CK16" i="2"/>
  <c r="CK19" i="2"/>
  <c r="CK20" i="2"/>
  <c r="CK21" i="2"/>
  <c r="CK22" i="2"/>
  <c r="CK23" i="2"/>
  <c r="CK24" i="2"/>
  <c r="CK25" i="2"/>
  <c r="CK6" i="2"/>
  <c r="CK7" i="2"/>
  <c r="CK8" i="2"/>
  <c r="CK9" i="2"/>
  <c r="CK10" i="2"/>
  <c r="CK11" i="2"/>
  <c r="CK12" i="2"/>
  <c r="CK13" i="2"/>
  <c r="CK14" i="2"/>
  <c r="CK15" i="2"/>
  <c r="CK17" i="2"/>
  <c r="CK18" i="2"/>
  <c r="CI16" i="2"/>
  <c r="CI19" i="2"/>
  <c r="CI20" i="2"/>
  <c r="CI21" i="2"/>
  <c r="CI22" i="2"/>
  <c r="CI23" i="2"/>
  <c r="CI24" i="2"/>
  <c r="CI25" i="2"/>
  <c r="CI6" i="2"/>
  <c r="CI7" i="2"/>
  <c r="CI8" i="2"/>
  <c r="CI9" i="2"/>
  <c r="CI10" i="2"/>
  <c r="CI11" i="2"/>
  <c r="CI12" i="2"/>
  <c r="CI13" i="2"/>
  <c r="CI14" i="2"/>
  <c r="CI15" i="2"/>
  <c r="CI17" i="2"/>
  <c r="CI18" i="2"/>
  <c r="CC16" i="2"/>
  <c r="CC19" i="2"/>
  <c r="CC20" i="2"/>
  <c r="CC21" i="2"/>
  <c r="CC22" i="2"/>
  <c r="CC23" i="2"/>
  <c r="CC24" i="2"/>
  <c r="CC25" i="2"/>
  <c r="CC6" i="2"/>
  <c r="CC7" i="2"/>
  <c r="CC8" i="2"/>
  <c r="CC9" i="2"/>
  <c r="CC10" i="2"/>
  <c r="CC11" i="2"/>
  <c r="CC12" i="2"/>
  <c r="CC13" i="2"/>
  <c r="CC14" i="2"/>
  <c r="CC15" i="2"/>
  <c r="CC17" i="2"/>
  <c r="CC18" i="2"/>
  <c r="CA16" i="2"/>
  <c r="CA19" i="2"/>
  <c r="CA20" i="2"/>
  <c r="CA21" i="2"/>
  <c r="CA22" i="2"/>
  <c r="CA23" i="2"/>
  <c r="CA24" i="2"/>
  <c r="CA25" i="2"/>
  <c r="CA6" i="2"/>
  <c r="CA7" i="2"/>
  <c r="CA8" i="2"/>
  <c r="CA9" i="2"/>
  <c r="CA10" i="2"/>
  <c r="CA11" i="2"/>
  <c r="CA12" i="2"/>
  <c r="CA13" i="2"/>
  <c r="CA14" i="2"/>
  <c r="CA15" i="2"/>
  <c r="CA17" i="2"/>
  <c r="CA18" i="2"/>
  <c r="BU16" i="2"/>
  <c r="BU19" i="2"/>
  <c r="BU20" i="2"/>
  <c r="BU21" i="2"/>
  <c r="BU22" i="2"/>
  <c r="BU23" i="2"/>
  <c r="BU24" i="2"/>
  <c r="BU25" i="2"/>
  <c r="BU6" i="2"/>
  <c r="BU7" i="2"/>
  <c r="BU8" i="2"/>
  <c r="BU9" i="2"/>
  <c r="BU10" i="2"/>
  <c r="BU11" i="2"/>
  <c r="BU12" i="2"/>
  <c r="BU13" i="2"/>
  <c r="BU14" i="2"/>
  <c r="BU15" i="2"/>
  <c r="BU17" i="2"/>
  <c r="BU18" i="2"/>
  <c r="BS16" i="2"/>
  <c r="BS19" i="2"/>
  <c r="BS20" i="2"/>
  <c r="BS21" i="2"/>
  <c r="BS22" i="2"/>
  <c r="BS23" i="2"/>
  <c r="BS24" i="2"/>
  <c r="BS25" i="2"/>
  <c r="BS6" i="2"/>
  <c r="BS7" i="2"/>
  <c r="BS8" i="2"/>
  <c r="BS9" i="2"/>
  <c r="BS10" i="2"/>
  <c r="BS11" i="2"/>
  <c r="BS12" i="2"/>
  <c r="BS13" i="2"/>
  <c r="BS14" i="2"/>
  <c r="BS15" i="2"/>
  <c r="BS17" i="2"/>
  <c r="BS18" i="2"/>
  <c r="BM16" i="2"/>
  <c r="BM19" i="2"/>
  <c r="BM20" i="2"/>
  <c r="BM21" i="2"/>
  <c r="BM22" i="2"/>
  <c r="BM23" i="2"/>
  <c r="BM24" i="2"/>
  <c r="BM25" i="2"/>
  <c r="BM6" i="2"/>
  <c r="BM7" i="2"/>
  <c r="BM8" i="2"/>
  <c r="BM9" i="2"/>
  <c r="BM10" i="2"/>
  <c r="BM11" i="2"/>
  <c r="BM12" i="2"/>
  <c r="BM13" i="2"/>
  <c r="BM14" i="2"/>
  <c r="BM15" i="2"/>
  <c r="BM17" i="2"/>
  <c r="BM18" i="2"/>
  <c r="BK16" i="2"/>
  <c r="BK19" i="2"/>
  <c r="BK20" i="2"/>
  <c r="BK21" i="2"/>
  <c r="BK22" i="2"/>
  <c r="BK23" i="2"/>
  <c r="BK24" i="2"/>
  <c r="BK25" i="2"/>
  <c r="BK6" i="2"/>
  <c r="BK7" i="2"/>
  <c r="BK8" i="2"/>
  <c r="BK9" i="2"/>
  <c r="BK10" i="2"/>
  <c r="BK11" i="2"/>
  <c r="BK12" i="2"/>
  <c r="BK13" i="2"/>
  <c r="BK14" i="2"/>
  <c r="BK15" i="2"/>
  <c r="BK17" i="2"/>
  <c r="BK18" i="2"/>
  <c r="BE19" i="2"/>
  <c r="BE20" i="2"/>
  <c r="BE21" i="2"/>
  <c r="BE22" i="2"/>
  <c r="BE23" i="2"/>
  <c r="BE24" i="2"/>
  <c r="BE25" i="2"/>
  <c r="BE6" i="2"/>
  <c r="BE7" i="2"/>
  <c r="BE8" i="2"/>
  <c r="BE9" i="2"/>
  <c r="BE10" i="2"/>
  <c r="BE11" i="2"/>
  <c r="BE12" i="2"/>
  <c r="BE13" i="2"/>
  <c r="BE14" i="2"/>
  <c r="BE15" i="2"/>
  <c r="BE17" i="2"/>
  <c r="BE18" i="2"/>
  <c r="BC19" i="2"/>
  <c r="BC20" i="2"/>
  <c r="BC21" i="2"/>
  <c r="BC22" i="2"/>
  <c r="BC23" i="2"/>
  <c r="BC24" i="2"/>
  <c r="BC25" i="2"/>
  <c r="BC6" i="2"/>
  <c r="BC7" i="2"/>
  <c r="BC8" i="2"/>
  <c r="BC9" i="2"/>
  <c r="BC10" i="2"/>
  <c r="BC11" i="2"/>
  <c r="BC12" i="2"/>
  <c r="BC13" i="2"/>
  <c r="BC14" i="2"/>
  <c r="BC15" i="2"/>
  <c r="BC17" i="2"/>
  <c r="BC18" i="2"/>
  <c r="AW16" i="2"/>
  <c r="AW19" i="2"/>
  <c r="AW20" i="2"/>
  <c r="AW21" i="2"/>
  <c r="AW22" i="2"/>
  <c r="AW23" i="2"/>
  <c r="AW24" i="2"/>
  <c r="AW25" i="2"/>
  <c r="AW6" i="2"/>
  <c r="AW7" i="2"/>
  <c r="AW8" i="2"/>
  <c r="AW9" i="2"/>
  <c r="AW10" i="2"/>
  <c r="AW11" i="2"/>
  <c r="AW12" i="2"/>
  <c r="AW13" i="2"/>
  <c r="AW14" i="2"/>
  <c r="AW15" i="2"/>
  <c r="AW17" i="2"/>
  <c r="AW18" i="2"/>
  <c r="AU16" i="2"/>
  <c r="AU19" i="2"/>
  <c r="AU20" i="2"/>
  <c r="AU21" i="2"/>
  <c r="AU22" i="2"/>
  <c r="AU23" i="2"/>
  <c r="AU24" i="2"/>
  <c r="AU25" i="2"/>
  <c r="AU6" i="2"/>
  <c r="AU7" i="2"/>
  <c r="AU8" i="2"/>
  <c r="AU9" i="2"/>
  <c r="AU10" i="2"/>
  <c r="AU11" i="2"/>
  <c r="AU12" i="2"/>
  <c r="AU13" i="2"/>
  <c r="AU14" i="2"/>
  <c r="AU15" i="2"/>
  <c r="AU17" i="2"/>
  <c r="AU18" i="2"/>
  <c r="AO20" i="2"/>
  <c r="AO21" i="2"/>
  <c r="AO22" i="2"/>
  <c r="AO23" i="2"/>
  <c r="AO24" i="2"/>
  <c r="AO25" i="2"/>
  <c r="AO6" i="2"/>
  <c r="AO7" i="2"/>
  <c r="AO8" i="2"/>
  <c r="AO9" i="2"/>
  <c r="AO10" i="2"/>
  <c r="AO11" i="2"/>
  <c r="AO12" i="2"/>
  <c r="AO13" i="2"/>
  <c r="AO14" i="2"/>
  <c r="AO15" i="2"/>
  <c r="AO17" i="2"/>
  <c r="AO18" i="2"/>
  <c r="AM20" i="2"/>
  <c r="AM21" i="2"/>
  <c r="AM22" i="2"/>
  <c r="AM23" i="2"/>
  <c r="AM24" i="2"/>
  <c r="AM25" i="2"/>
  <c r="AM6" i="2"/>
  <c r="AM7" i="2"/>
  <c r="AM8" i="2"/>
  <c r="AM9" i="2"/>
  <c r="AM10" i="2"/>
  <c r="AM11" i="2"/>
  <c r="AM12" i="2"/>
  <c r="AM13" i="2"/>
  <c r="AM14" i="2"/>
  <c r="AM15" i="2"/>
  <c r="AM17" i="2"/>
  <c r="AM18" i="2"/>
  <c r="AG20" i="2"/>
  <c r="AG21" i="2"/>
  <c r="AG22" i="2"/>
  <c r="AG23" i="2"/>
  <c r="AG24" i="2"/>
  <c r="AG25" i="2"/>
  <c r="AG6" i="2"/>
  <c r="AG7" i="2"/>
  <c r="AG8" i="2"/>
  <c r="AG9" i="2"/>
  <c r="AG10" i="2"/>
  <c r="AG11" i="2"/>
  <c r="AG12" i="2"/>
  <c r="AG13" i="2"/>
  <c r="AG14" i="2"/>
  <c r="AG15" i="2"/>
  <c r="AG17" i="2"/>
  <c r="AG18" i="2"/>
  <c r="AE20" i="2"/>
  <c r="AE21" i="2"/>
  <c r="AE22" i="2"/>
  <c r="AE23" i="2"/>
  <c r="AE24" i="2"/>
  <c r="AE25" i="2"/>
  <c r="AE6" i="2"/>
  <c r="AE7" i="2"/>
  <c r="AE8" i="2"/>
  <c r="AE9" i="2"/>
  <c r="AE10" i="2"/>
  <c r="AE11" i="2"/>
  <c r="AE12" i="2"/>
  <c r="AE13" i="2"/>
  <c r="AE14" i="2"/>
  <c r="AE15" i="2"/>
  <c r="AE17" i="2"/>
  <c r="AE18" i="2"/>
  <c r="Y20" i="2"/>
  <c r="Y21" i="2"/>
  <c r="Y22" i="2"/>
  <c r="Y23" i="2"/>
  <c r="Y24" i="2"/>
  <c r="Y25" i="2"/>
  <c r="Y6" i="2"/>
  <c r="Y7" i="2"/>
  <c r="Y8" i="2"/>
  <c r="Y9" i="2"/>
  <c r="Y10" i="2"/>
  <c r="Y11" i="2"/>
  <c r="Y12" i="2"/>
  <c r="Y13" i="2"/>
  <c r="Y14" i="2"/>
  <c r="Y15" i="2"/>
  <c r="Y17" i="2"/>
  <c r="Y18" i="2"/>
  <c r="W20" i="2"/>
  <c r="W21" i="2"/>
  <c r="W22" i="2"/>
  <c r="W23" i="2"/>
  <c r="W24" i="2"/>
  <c r="W25" i="2"/>
  <c r="W6" i="2"/>
  <c r="W7" i="2"/>
  <c r="W8" i="2"/>
  <c r="W9" i="2"/>
  <c r="W10" i="2"/>
  <c r="W11" i="2"/>
  <c r="W12" i="2"/>
  <c r="W13" i="2"/>
  <c r="W14" i="2"/>
  <c r="W15" i="2"/>
  <c r="W17" i="2"/>
  <c r="W18" i="2"/>
  <c r="Q20" i="2"/>
  <c r="Q21" i="2"/>
  <c r="Q22" i="2"/>
  <c r="Q23" i="2"/>
  <c r="Q24" i="2"/>
  <c r="Q25" i="2"/>
  <c r="Q6" i="2"/>
  <c r="Q7" i="2"/>
  <c r="Q8" i="2"/>
  <c r="Q9" i="2"/>
  <c r="Q10" i="2"/>
  <c r="Q11" i="2"/>
  <c r="Q12" i="2"/>
  <c r="Q13" i="2"/>
  <c r="Q14" i="2"/>
  <c r="Q15" i="2"/>
  <c r="Q17" i="2"/>
  <c r="Q18" i="2"/>
  <c r="O20" i="2"/>
  <c r="O21" i="2"/>
  <c r="O22" i="2"/>
  <c r="O23" i="2"/>
  <c r="O24" i="2"/>
  <c r="O25" i="2"/>
  <c r="O6" i="2"/>
  <c r="O7" i="2"/>
  <c r="O8" i="2"/>
  <c r="O9" i="2"/>
  <c r="O10" i="2"/>
  <c r="O11" i="2"/>
  <c r="O12" i="2"/>
  <c r="O13" i="2"/>
  <c r="O14" i="2"/>
  <c r="O15" i="2"/>
  <c r="O17" i="2"/>
  <c r="O18" i="2"/>
  <c r="O16" i="2"/>
  <c r="O19" i="2"/>
  <c r="DP9" i="2" l="1"/>
  <c r="DP8" i="2"/>
  <c r="DE13" i="2"/>
  <c r="DF13" i="2" s="1"/>
  <c r="DE10" i="2"/>
  <c r="DF10" i="2" s="1"/>
  <c r="DE22" i="2"/>
  <c r="DF22" i="2" s="1"/>
  <c r="DH13" i="2"/>
  <c r="DI13" i="2" s="1"/>
  <c r="DH25" i="2"/>
  <c r="DI25" i="2" s="1"/>
  <c r="DE15" i="2"/>
  <c r="DF15" i="2" s="1"/>
  <c r="DH10" i="2"/>
  <c r="DI10" i="2" s="1"/>
  <c r="DH22" i="2"/>
  <c r="DI22" i="2" s="1"/>
  <c r="DE7" i="2"/>
  <c r="DF7" i="2" s="1"/>
  <c r="DE11" i="2"/>
  <c r="DF11" i="2" s="1"/>
  <c r="DE23" i="2"/>
  <c r="DF23" i="2" s="1"/>
  <c r="DH14" i="2"/>
  <c r="DI14" i="2" s="1"/>
  <c r="DH6" i="2"/>
  <c r="DI6" i="2" s="1"/>
  <c r="DH12" i="2"/>
  <c r="DI12" i="2" s="1"/>
  <c r="DH24" i="2"/>
  <c r="DI24" i="2" s="1"/>
  <c r="DE17" i="2"/>
  <c r="DF17" i="2" s="1"/>
  <c r="DE8" i="2"/>
  <c r="DE20" i="2"/>
  <c r="DF20" i="2" s="1"/>
  <c r="DH11" i="2"/>
  <c r="DI11" i="2" s="1"/>
  <c r="DH23" i="2"/>
  <c r="DI23" i="2" s="1"/>
  <c r="DE14" i="2"/>
  <c r="DF14" i="2" s="1"/>
  <c r="DE6" i="2"/>
  <c r="DF6" i="2" s="1"/>
  <c r="DH18" i="2"/>
  <c r="DI18" i="2" s="1"/>
  <c r="DH9" i="2"/>
  <c r="DI9" i="2" s="1"/>
  <c r="DH21" i="2"/>
  <c r="DI21" i="2" s="1"/>
  <c r="DE25" i="2"/>
  <c r="DF25" i="2" s="1"/>
  <c r="DH17" i="2"/>
  <c r="DI17" i="2" s="1"/>
  <c r="DH8" i="2"/>
  <c r="DH20" i="2"/>
  <c r="DI20" i="2" s="1"/>
  <c r="DE12" i="2"/>
  <c r="DF12" i="2" s="1"/>
  <c r="DE24" i="2"/>
  <c r="DF24" i="2" s="1"/>
  <c r="DH15" i="2"/>
  <c r="DI15" i="2" s="1"/>
  <c r="DH7" i="2"/>
  <c r="DI7" i="2" s="1"/>
  <c r="DE18" i="2"/>
  <c r="DF18" i="2" s="1"/>
  <c r="DE9" i="2"/>
  <c r="DF9" i="2" s="1"/>
  <c r="DE21" i="2"/>
  <c r="DF21" i="2" s="1"/>
  <c r="DP15" i="2"/>
  <c r="DP14" i="2"/>
  <c r="DP6" i="2"/>
  <c r="DP13" i="2"/>
  <c r="DP25" i="2"/>
  <c r="DP7" i="2"/>
  <c r="DP10" i="2"/>
  <c r="DP22" i="2"/>
  <c r="AO16" i="2"/>
  <c r="AO19" i="2"/>
  <c r="AM16" i="2"/>
  <c r="AM19" i="2"/>
  <c r="DD16" i="2"/>
  <c r="DP16" i="2" s="1"/>
  <c r="DD19" i="2"/>
  <c r="DP19" i="2" s="1"/>
  <c r="AG16" i="2"/>
  <c r="AG19" i="2"/>
  <c r="AE16" i="2"/>
  <c r="AE19" i="2"/>
  <c r="Y19" i="2"/>
  <c r="W19" i="2"/>
  <c r="Q16" i="2"/>
  <c r="Q19" i="2"/>
  <c r="DG5" i="2"/>
  <c r="DD5" i="2"/>
  <c r="DA5" i="2"/>
  <c r="CY5" i="2"/>
  <c r="CS5" i="2"/>
  <c r="CQ5" i="2"/>
  <c r="CK5" i="2"/>
  <c r="CJ74" i="2" s="1"/>
  <c r="CI5" i="2"/>
  <c r="CH74" i="2" s="1"/>
  <c r="BS5" i="2"/>
  <c r="BK5" i="2"/>
  <c r="AU5" i="2"/>
  <c r="BE5" i="2"/>
  <c r="CC5" i="2"/>
  <c r="CA5" i="2"/>
  <c r="BU5" i="2"/>
  <c r="BM5" i="2"/>
  <c r="BC5" i="2"/>
  <c r="AW5" i="2"/>
  <c r="AO5" i="2"/>
  <c r="AM5" i="2"/>
  <c r="AG5" i="2"/>
  <c r="AE5" i="2"/>
  <c r="W5" i="2"/>
  <c r="O5" i="2"/>
  <c r="Y5" i="2"/>
  <c r="DK5" i="2"/>
  <c r="DJ5" i="2"/>
  <c r="CF11" i="1"/>
  <c r="CE11" i="1"/>
  <c r="CD11" i="1"/>
  <c r="CC11" i="1"/>
  <c r="CK11" i="1" s="1"/>
  <c r="BZ74" i="2" l="1"/>
  <c r="CP74" i="2"/>
  <c r="CX74" i="2"/>
  <c r="BR74" i="2"/>
  <c r="BT74" i="2"/>
  <c r="AF74" i="2"/>
  <c r="CB74" i="2"/>
  <c r="CR74" i="2"/>
  <c r="CZ74" i="2"/>
  <c r="DF8" i="2"/>
  <c r="DI8" i="2"/>
  <c r="DE19" i="2"/>
  <c r="DF19" i="2" s="1"/>
  <c r="DE16" i="2"/>
  <c r="DF16" i="2" s="1"/>
  <c r="BL74" i="2"/>
  <c r="DP5" i="2"/>
  <c r="DH19" i="2"/>
  <c r="DI19" i="2" s="1"/>
  <c r="DH16" i="2"/>
  <c r="DI16" i="2" s="1"/>
  <c r="DE5" i="2"/>
  <c r="AT74" i="2"/>
  <c r="BD74" i="2"/>
  <c r="BB74" i="2"/>
  <c r="BJ74" i="2"/>
  <c r="DH5" i="2"/>
  <c r="DI74" i="2" l="1"/>
  <c r="DF74" i="2"/>
  <c r="DF5" i="2"/>
  <c r="DP74" i="2"/>
  <c r="DI5" i="2"/>
  <c r="AL74" i="2"/>
  <c r="AD74" i="2"/>
  <c r="AN74" i="2"/>
  <c r="X74" i="2"/>
  <c r="AV74" i="2"/>
  <c r="V74" i="2"/>
  <c r="N74" i="2"/>
  <c r="P7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tc={B724D037-8999-404D-9D1D-4E502E02C52F}</author>
    <author>tc={8C6CBCFB-C439-419C-8432-2EA33AADDC0A}</author>
  </authors>
  <commentList>
    <comment ref="J4" authorId="0" shapeId="0" xr:uid="{B724D037-8999-404D-9D1D-4E502E02C52F}">
      <text>
        <t>[Threaded comment]
Your version of Excel allows you to read this threaded comment; however, any edits to it will get removed if the file is opened in a newer version of Excel. Learn more: https://go.microsoft.com/fwlink/?linkid=870924
Comment:
    Customer will decide when to run their report and dates. In this example, these values are through  3 qtrs/9 mos.</t>
      </text>
    </comment>
    <comment ref="K4" authorId="1" shapeId="0" xr:uid="{8C6CBCFB-C439-419C-8432-2EA33AADDC0A}">
      <text>
        <t>[Threaded comment]
Your version of Excel allows you to read this threaded comment; however, any edits to it will get removed if the file is opened in a newer version of Excel. Learn more: https://go.microsoft.com/fwlink/?linkid=870924
Comment:
    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tc={9C0BE0AD-9FB3-4D48-A4EF-1B951F6BB8F7}</author>
    <author>tc={350C70ED-C488-46E7-9B9D-A03B2AFA2671}</author>
  </authors>
  <commentList>
    <comment ref="G10" authorId="0" shapeId="0" xr:uid="{9C0BE0AD-9FB3-4D48-A4EF-1B951F6BB8F7}">
      <text>
        <t xml:space="preserve">[Threaded comment]
Your version of Excel allows you to read this threaded comment; however, any edits to it will get removed if the file is opened in a newer version of Excel. Learn more: https://go.microsoft.com/fwlink/?linkid=870924
Comment:
    Customer will decide when to run their report and dates
</t>
      </text>
    </comment>
    <comment ref="H10" authorId="1" shapeId="0" xr:uid="{350C70ED-C488-46E7-9B9D-A03B2AFA2671}">
      <text>
        <t>[Threaded comment]
Your version of Excel allows you to read this threaded comment; however, any edits to it will get removed if the file is opened in a newer version of Excel. Learn more: https://go.microsoft.com/fwlink/?linkid=870924
Comment:
    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
      </text>
    </comment>
  </commentList>
</comments>
</file>

<file path=xl/sharedStrings.xml><?xml version="1.0" encoding="utf-8"?>
<sst xmlns="http://schemas.openxmlformats.org/spreadsheetml/2006/main" count="374" uniqueCount="181">
  <si>
    <t>FORECAST YEAR:</t>
  </si>
  <si>
    <t>Salesperson</t>
  </si>
  <si>
    <t>Customer Name</t>
  </si>
  <si>
    <t>2016 Sales</t>
  </si>
  <si>
    <t>2017 Sales</t>
  </si>
  <si>
    <t>2018 Sales</t>
  </si>
  <si>
    <t>2019 Sales</t>
  </si>
  <si>
    <t>2020 Sales</t>
  </si>
  <si>
    <t>2021 Sales</t>
  </si>
  <si>
    <t>2022 Sales</t>
  </si>
  <si>
    <t>Current Year's Sales (Through 9 months)</t>
  </si>
  <si>
    <t>Current Year End Projected Sales</t>
  </si>
  <si>
    <t>Jan Sales Forecast</t>
  </si>
  <si>
    <t>Jan Sales Target</t>
  </si>
  <si>
    <t>Jan  GPP Forecast</t>
  </si>
  <si>
    <t>Jan GPD Forecast</t>
  </si>
  <si>
    <t>Jan GPP Target</t>
  </si>
  <si>
    <t>JAN GPD Target</t>
  </si>
  <si>
    <t>Jan  Calls Forecast</t>
  </si>
  <si>
    <t>Jan Calls Target</t>
  </si>
  <si>
    <t>Feb Sales Forecast</t>
  </si>
  <si>
    <t>Feb Sales Target</t>
  </si>
  <si>
    <t>Feb GPP Forecast</t>
  </si>
  <si>
    <t>Feb GPD Forecast</t>
  </si>
  <si>
    <t>Feb GPP Target</t>
  </si>
  <si>
    <t>Feb GPD Target</t>
  </si>
  <si>
    <t>Feb  Calls Forecast</t>
  </si>
  <si>
    <t>Feb Calls Target</t>
  </si>
  <si>
    <t>Mar Sales Forecast</t>
  </si>
  <si>
    <t>Mar Sales Target</t>
  </si>
  <si>
    <t>Mar GPP Forecast</t>
  </si>
  <si>
    <t>Mar GPD Forecast</t>
  </si>
  <si>
    <t>Mar GPP Target</t>
  </si>
  <si>
    <t>Mar GPD Target</t>
  </si>
  <si>
    <t>Mar Calls Forecast</t>
  </si>
  <si>
    <t>Mar Calls Target</t>
  </si>
  <si>
    <t>Apr Sales Forecast</t>
  </si>
  <si>
    <t>Apr Sales Target</t>
  </si>
  <si>
    <t>April GPP Forecast</t>
  </si>
  <si>
    <t>April GPD Forecast</t>
  </si>
  <si>
    <t>April GPP Target</t>
  </si>
  <si>
    <t>April GPD Target</t>
  </si>
  <si>
    <t>Apr Calls Forecast</t>
  </si>
  <si>
    <t>Apr Calls Target</t>
  </si>
  <si>
    <t>May Sales Forecast</t>
  </si>
  <si>
    <t>May Sales Target</t>
  </si>
  <si>
    <t>May GPP Forecast</t>
  </si>
  <si>
    <t>May GPD Forecast</t>
  </si>
  <si>
    <t>May GPP Target</t>
  </si>
  <si>
    <t>May GPD Target</t>
  </si>
  <si>
    <t>May Calls Forecast</t>
  </si>
  <si>
    <t>May Calls Target</t>
  </si>
  <si>
    <t>June Sales Forecast</t>
  </si>
  <si>
    <t>June Sales Target</t>
  </si>
  <si>
    <t>June GPP Forecast</t>
  </si>
  <si>
    <t>June GPD Forecast</t>
  </si>
  <si>
    <t>June GPP Target</t>
  </si>
  <si>
    <t>June GPD Target</t>
  </si>
  <si>
    <t>June Calls Forecast</t>
  </si>
  <si>
    <t>June Calls Target</t>
  </si>
  <si>
    <t>July Sales Forecast</t>
  </si>
  <si>
    <t>July Sales Target</t>
  </si>
  <si>
    <t>July GPP Forecast</t>
  </si>
  <si>
    <t>July GPD Forecast</t>
  </si>
  <si>
    <t>July GPP Target</t>
  </si>
  <si>
    <t>July GPD Target</t>
  </si>
  <si>
    <t>July Calls Forecast</t>
  </si>
  <si>
    <t>July Calls Target</t>
  </si>
  <si>
    <t>Aug Sales Forecast</t>
  </si>
  <si>
    <t>Aug Sales Target</t>
  </si>
  <si>
    <t>Aug GPP Forecast</t>
  </si>
  <si>
    <t>Aug GPD Forecast</t>
  </si>
  <si>
    <t>Aug GPP Target</t>
  </si>
  <si>
    <t>Aug GPD Target</t>
  </si>
  <si>
    <t>Aug Calls Forecast</t>
  </si>
  <si>
    <t>Aug Calls Target</t>
  </si>
  <si>
    <t>Sept Sales Forecast</t>
  </si>
  <si>
    <t>Sept Sales Target</t>
  </si>
  <si>
    <t>Sept GPP Forecast</t>
  </si>
  <si>
    <t>Sept GPD Forecast</t>
  </si>
  <si>
    <t>Sept GPP Target</t>
  </si>
  <si>
    <t>Sept GPD Target</t>
  </si>
  <si>
    <t>Sept Calls Forecast</t>
  </si>
  <si>
    <t>Sept Calls Target</t>
  </si>
  <si>
    <t>Oct Sales Forecast</t>
  </si>
  <si>
    <t>Oct Sales Target</t>
  </si>
  <si>
    <t>Oct GPP Forecast</t>
  </si>
  <si>
    <t>Oct GPD Forecast</t>
  </si>
  <si>
    <t>Oct GPP Target</t>
  </si>
  <si>
    <t>Oct GPD Target</t>
  </si>
  <si>
    <t>Oct Calls Forecast</t>
  </si>
  <si>
    <t>Oct Calls Target</t>
  </si>
  <si>
    <t>Nov Sales Forecast</t>
  </si>
  <si>
    <t>Nov Sales Target</t>
  </si>
  <si>
    <t>Nov GPP Forecast</t>
  </si>
  <si>
    <t>Nov GPD Forecast</t>
  </si>
  <si>
    <t>Nov GPP Target</t>
  </si>
  <si>
    <t>Nov GPD Target</t>
  </si>
  <si>
    <t>Nov Calls Forecast</t>
  </si>
  <si>
    <t>Nov Calls Target</t>
  </si>
  <si>
    <t>Dec Sales Forecast</t>
  </si>
  <si>
    <t>Dec Sales Target</t>
  </si>
  <si>
    <t>Dec GPP Forecast</t>
  </si>
  <si>
    <t>Dec GPD Forecast</t>
  </si>
  <si>
    <t>Dec GPP Target</t>
  </si>
  <si>
    <t>Dec GPD Target</t>
  </si>
  <si>
    <t>Dec Calls Forecast</t>
  </si>
  <si>
    <t>Dec Calls Target</t>
  </si>
  <si>
    <t>Total Sales Forecast</t>
  </si>
  <si>
    <t>Total GPD Forecast</t>
  </si>
  <si>
    <t>Total GPP Forecast</t>
  </si>
  <si>
    <t>Total Sales Target</t>
  </si>
  <si>
    <t>Total GPD Target</t>
  </si>
  <si>
    <t>Total GPP Target</t>
  </si>
  <si>
    <t>Total Calls Forecast</t>
  </si>
  <si>
    <t>Total Calls Target</t>
  </si>
  <si>
    <t>Strategy</t>
  </si>
  <si>
    <t>Potential</t>
  </si>
  <si>
    <t>Current Opportunity</t>
  </si>
  <si>
    <t>Future Opportunity</t>
  </si>
  <si>
    <t>Market Share</t>
  </si>
  <si>
    <t>At Risk</t>
  </si>
  <si>
    <t>Risk Explanation</t>
  </si>
  <si>
    <t>Sales Pro 2</t>
  </si>
  <si>
    <t>Cust1</t>
  </si>
  <si>
    <t>This account was negatively impacted by Covid &amp; is rebounding. We set a target = $204K for yr. and while customer might have actual demand, we may "frontload" them going into 2025. Current opportunity will require 5% price discount. Customer has clearly stated they will always maintain at least 2 suppliers, hence our opportunity values.</t>
  </si>
  <si>
    <t>Cust10</t>
  </si>
  <si>
    <t>This distributor is not growing, but serves as a good channel partner for the local market and does not require in person help.  Handled by IS</t>
  </si>
  <si>
    <t>Sales Pro 4</t>
  </si>
  <si>
    <t>Cust11</t>
  </si>
  <si>
    <t>Sales, Product &amp; Industry Mgt. are working on a proprietary new product  in a new industry with the help of an actual end user.  We've identified 2 potential channel partners (Cust 13 &amp; 14) and have assigned future potential to each. For now, we will work under NDA with the end user to develop and test. Since this business is via channel partners ( 13 &amp; 14), all potential and opps are under those customers.</t>
  </si>
  <si>
    <t>Sales Pro 1</t>
  </si>
  <si>
    <t>Cust12</t>
  </si>
  <si>
    <t>Existing customer, very seasonal build, with product development project near completion and no risk associated. This project will replace existing business (swap out).</t>
  </si>
  <si>
    <t>Sales Pro 3</t>
  </si>
  <si>
    <t>Cust13</t>
  </si>
  <si>
    <t>This account is one of 2 identified OEMs for new industry,  who would use the new product development listed with Cust11. The GTM strategy is to create pull-through using the end users who will require it in the machinery they procure via the OEMS (custs 13 &amp; 14).</t>
  </si>
  <si>
    <t>Cust14</t>
  </si>
  <si>
    <t>Cust15</t>
  </si>
  <si>
    <t>This account is among the top 10 users (volume) of our core products and for manufacturing/company expense coverage, is strategic. Highly competitive market and requires very strong relationships and nurturing.</t>
  </si>
  <si>
    <t>Sales Pro 5</t>
  </si>
  <si>
    <t>Cust16</t>
  </si>
  <si>
    <t>Increase sales reflect government spending. Orders are solid, with first 6 months already firmed up. Due to current and future customer and the fact we do not make the necessary component, our growth is limited as reflected in opps.</t>
  </si>
  <si>
    <t>Cust17</t>
  </si>
  <si>
    <t>Cust18</t>
  </si>
  <si>
    <t xml:space="preserve">This is one of the new international accounts. We are taking a conservative approach to sales and contact with them for the initial year. The strategy is to develop the necessary relationships and secure 50% of their business over the next 2-3 years. </t>
  </si>
  <si>
    <t>Cust19</t>
  </si>
  <si>
    <t>Long standing account handled by IS with periodic assistance as needed by OS. 2022 and 2023 dropped off due to economy re-adjusting.</t>
  </si>
  <si>
    <t>Cust2</t>
  </si>
  <si>
    <t>This distributor is progressive, has numerous large national steel contracts, our market share is low, our relationship has improved dramatically and we can get more business now and going forward.</t>
  </si>
  <si>
    <t>Cust20</t>
  </si>
  <si>
    <t>Long standing account handled by IS with periodic assistance as needed by OS. Covid helped growth which has held.</t>
  </si>
  <si>
    <t>Cust21</t>
  </si>
  <si>
    <t>Cust3</t>
  </si>
  <si>
    <t>Old established manufacturer that was struggling, hit by Covid and holding on. Solid and steady. Visit every other month to check in.</t>
  </si>
  <si>
    <t>Cust4</t>
  </si>
  <si>
    <t>Existing customer and we are working with their Engineering Dept on an improvement  to an existing product they purchase from us (they will continue to buy current product design too). 4th qtr. reflects this new product, but is also listed at risk. High call schedule to stay on top of product dev. On current opp, could gain with consignment agreement.</t>
  </si>
  <si>
    <t xml:space="preserve">Customer product introduction timeline and requires testing and approval. We forecasted 4th qtr. only ($150K @ 85%). Used Forecast Template file under GENREV/Forms. </t>
  </si>
  <si>
    <t>Cust5</t>
  </si>
  <si>
    <t>This healthcare/pharma  integrator is interested in our new product to incorporate into their offering. Research and testing have been successful and this  is additional beyond our incumbent business. As can be seen, Covid had a positive impact on their 2020 and 2021 sales. We are flatlining $10K/mo. for incumbent business and adding an additional $50K for the yr. ($4167/mo.) also flatlined.</t>
  </si>
  <si>
    <t>Cust6</t>
  </si>
  <si>
    <t>We don't have current production to secure the current $300K opportunity but will and with that, we envision an additional $2M in future opp</t>
  </si>
  <si>
    <t>Cust7</t>
  </si>
  <si>
    <t>Cust8</t>
  </si>
  <si>
    <t>Part of longer strategy for healthcare/pharma industry, we will begin working on establishing a relationship.</t>
  </si>
  <si>
    <t>Cust9</t>
  </si>
  <si>
    <t>To support our focus on growth in the defense industry, this distributor has agreed to take on our line with commitments setup our line of products, stock and conduct training and join calls to meet or exceed annual rebate program. Since it is new, we are putting 40% of forecast, at risk. Call schedule reflects sales effort to work with corporate purchasing, sales and leadership.</t>
  </si>
  <si>
    <t>Because this is a new customer and unknowns, we are putting 40% of forecast at risk. We know we have a stocking order and we will get restocking. Just being cautious here.</t>
  </si>
  <si>
    <t>GRAND TOTALS</t>
  </si>
  <si>
    <t xml:space="preserve">April GPP Target </t>
  </si>
  <si>
    <t xml:space="preserve">This row defines the required format for the cells below in each column                     </t>
  </si>
  <si>
    <t>COULD BE ALPHA NUMERIC/SYMBOLS</t>
  </si>
  <si>
    <t>Dollars (rounded to nearest dollar)</t>
  </si>
  <si>
    <t>Numeric value out to 2 decimal points</t>
  </si>
  <si>
    <t>Numeric value -whole value only</t>
  </si>
  <si>
    <t xml:space="preserve">Alpha numeric </t>
  </si>
  <si>
    <t>Percentage value out to 1 decimal point</t>
  </si>
  <si>
    <t xml:space="preserve">This row shows all the info a salesperson needs to complete. It is all encompassing so that the user coan use this filw outside of the GENREV database. The cells highlighted in red are the ones that will need to be uploaded to the GENREV database. </t>
  </si>
  <si>
    <t>Current Year's Sales (Through XX)</t>
  </si>
  <si>
    <t>Risk Reason</t>
  </si>
  <si>
    <r>
      <t xml:space="preserve">Grand totals for </t>
    </r>
    <r>
      <rPr>
        <sz val="11"/>
        <color theme="1"/>
        <rFont val="Calibri"/>
        <family val="2"/>
        <scheme val="minor"/>
      </rPr>
      <t>each column that has values</t>
    </r>
    <r>
      <rPr>
        <b/>
        <sz val="11"/>
        <color theme="1"/>
        <rFont val="Calibri"/>
        <family val="2"/>
        <scheme val="minor"/>
      </rPr>
      <t xml:space="preserve">. Instead of putting grand totals at the bottom, I want then at the top.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</si>
</sst>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0.0%"/>
    <numFmt numFmtId="165" formatCode="&quot;$&quot;#,##0"/>
  </numFmts>
  <fonts count="5">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3">
    <xf numFmtId="0" fontId="0" fillId="0" borderId="0" xfId="0"/>
    <xf numFmtId="6" fontId="0" fillId="0" borderId="0" xfId="0" applyNumberFormat="1"/>
    <xf numFmtId="0" fontId="0" fillId="2" borderId="0" xfId="0" applyFill="1" applyAlignment="1">
      <alignment horizontal="center" wrapText="1"/>
    </xf>
    <xf numFmtId="0" fontId="0" fillId="0" borderId="0" xfId="0" applyAlignment="1">
      <alignment horizontal="center"/>
    </xf>
    <xf numFmtId="0" fontId="1" fillId="0" borderId="2" xfId="0" applyFont="1" applyBorder="1" applyAlignment="1">
      <alignment wrapText="1"/>
    </xf>
    <xf numFmtId="0" fontId="1" fillId="0" borderId="0" xfId="0" applyFont="1" applyAlignment="1">
      <alignment wrapText="1"/>
    </xf>
    <xf numFmtId="0" fontId="1" fillId="0" borderId="4" xfId="0" applyFont="1" applyBorder="1" applyAlignment="1">
      <alignment wrapText="1"/>
    </xf>
    <xf numFmtId="0" fontId="1" fillId="3" borderId="2" xfId="0" applyFont="1" applyFill="1" applyBorder="1" applyAlignment="1">
      <alignment wrapText="1"/>
    </xf>
    <xf numFmtId="0" fontId="2" fillId="0" borderId="0" xfId="0" applyFont="1" applyAlignment="1">
      <alignment horizontal="center" vertical="top" wrapText="1"/>
    </xf>
    <xf numFmtId="0" fontId="2" fillId="0" borderId="0" xfId="0" applyFont="1" applyAlignment="1">
      <alignment wrapText="1"/>
    </xf>
    <xf numFmtId="0" fontId="1" fillId="0" borderId="0" xfId="0" applyFont="1"/>
    <xf numFmtId="164" fontId="1" fillId="0" borderId="0" xfId="0" applyNumberFormat="1" applyFont="1" applyAlignment="1">
      <alignment wrapText="1"/>
    </xf>
    <xf numFmtId="0" fontId="1" fillId="3" borderId="3" xfId="0" applyFont="1" applyFill="1" applyBorder="1" applyAlignment="1">
      <alignment wrapText="1"/>
    </xf>
    <xf numFmtId="0" fontId="0" fillId="0" borderId="0" xfId="0" applyAlignment="1">
      <alignment horizontal="right"/>
    </xf>
    <xf numFmtId="0" fontId="1" fillId="0" borderId="1" xfId="0" applyFont="1" applyBorder="1" applyAlignment="1">
      <alignment wrapText="1"/>
    </xf>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vertical="top" wrapText="1"/>
    </xf>
    <xf numFmtId="165" fontId="0" fillId="0" borderId="0" xfId="0" applyNumberFormat="1" applyAlignment="1">
      <alignment horizontal="center" vertical="center"/>
    </xf>
    <xf numFmtId="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wrapText="1"/>
    </xf>
    <xf numFmtId="165" fontId="3" fillId="0" borderId="0" xfId="1" applyNumberFormat="1" applyFont="1" applyFill="1" applyAlignment="1">
      <alignment horizontal="center" vertical="center"/>
    </xf>
    <xf numFmtId="164" fontId="3" fillId="0" borderId="0" xfId="2" applyNumberFormat="1" applyFont="1" applyFill="1" applyAlignment="1">
      <alignment horizontal="center" vertical="center"/>
    </xf>
    <xf numFmtId="3" fontId="0" fillId="0" borderId="0" xfId="0" applyNumberFormat="1" applyAlignment="1">
      <alignment horizontal="center" vertical="center"/>
    </xf>
    <xf numFmtId="165" fontId="4" fillId="0" borderId="0" xfId="0" applyNumberFormat="1" applyFont="1" applyAlignment="1">
      <alignment horizontal="center" vertical="center"/>
    </xf>
    <xf numFmtId="164" fontId="0" fillId="0" borderId="0" xfId="2" applyNumberFormat="1" applyFont="1" applyFill="1" applyAlignment="1">
      <alignment horizontal="center" vertical="center"/>
    </xf>
    <xf numFmtId="165" fontId="0" fillId="0" borderId="0" xfId="0" applyNumberFormat="1" applyAlignment="1">
      <alignment horizontal="center" vertical="center" wrapText="1"/>
    </xf>
    <xf numFmtId="165" fontId="4" fillId="0" borderId="0" xfId="0" applyNumberFormat="1" applyFont="1" applyAlignment="1">
      <alignment horizontal="center" vertical="center" wrapText="1"/>
    </xf>
    <xf numFmtId="0" fontId="0" fillId="0" borderId="0" xfId="0" applyAlignment="1">
      <alignment horizontal="center"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165" fontId="0" fillId="0" borderId="0" xfId="0" applyNumberFormat="1"/>
    <xf numFmtId="164" fontId="0" fillId="0" borderId="0" xfId="0" applyNumberFormat="1"/>
    <xf numFmtId="165" fontId="0" fillId="0" borderId="0" xfId="0" applyNumberFormat="1" applyAlignment="1">
      <alignment horizontal="center"/>
    </xf>
    <xf numFmtId="165" fontId="0" fillId="0" borderId="0" xfId="1" applyNumberFormat="1" applyFont="1" applyFill="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applyAlignment="1">
      <alignment horizontal="center" vertical="top"/>
    </xf>
  </cellXfs>
  <cellStyles count="3">
    <cellStyle name="Currency" xfId="1" builtinId="4"/>
    <cellStyle name="Normal" xfId="0" builtinId="0"/>
    <cellStyle name="Per cent" xfId="2" builtinId="5"/>
  </cellStyles>
  <dxfs count="246">
    <dxf>
      <fill>
        <patternFill patternType="none">
          <fgColor indexed="64"/>
          <bgColor indexed="65"/>
        </patternFill>
      </fill>
    </dxf>
    <dxf>
      <font>
        <b/>
        <i val="0"/>
        <strike val="0"/>
        <condense val="0"/>
        <extend val="0"/>
        <outline val="0"/>
        <shadow val="0"/>
        <u val="none"/>
        <vertAlign val="baseline"/>
        <sz val="11"/>
        <color rgb="FFFF0000"/>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rgb="FFFF0000"/>
        <name val="Calibri"/>
        <family val="2"/>
        <scheme val="minor"/>
      </font>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1" indent="0" justifyLastLine="0" shrinkToFit="0" readingOrder="0"/>
    </dxf>
    <dxf>
      <numFmt numFmtId="164" formatCode="0.0%"/>
      <alignment horizontal="center" vertical="center" textRotation="0" wrapText="1"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fill>
        <patternFill patternType="none">
          <fgColor indexed="64"/>
          <bgColor indexed="65"/>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fill>
        <patternFill patternType="none">
          <fgColor indexed="64"/>
          <bgColor indexed="65"/>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4" formatCode="#,##0.00"/>
      <fill>
        <patternFill patternType="none">
          <fgColor indexed="64"/>
          <bgColor indexed="65"/>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fill>
        <patternFill patternType="none">
          <fgColor indexed="64"/>
          <bgColor indexed="65"/>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1" indent="0" justifyLastLine="0" shrinkToFit="0" readingOrder="0"/>
    </dxf>
    <dxf>
      <numFmt numFmtId="165" formatCode="&quot;$&quot;#,##0"/>
      <alignment horizontal="center" vertical="center" textRotation="0" wrapText="1"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medium">
          <color indexed="64"/>
        </bottom>
      </border>
    </dxf>
    <dxf>
      <border outline="0">
        <top style="medium">
          <color indexed="64"/>
        </top>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huck Kitchen" id="{4704B07F-81E8-49A4-B526-51FC58C2F81A}" userId="S::chuck@businessbetterments.com::813c9119-f1ba-4de4-a62b-4ef394264cb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D7FF42-95AB-420D-99FD-3E2DD8B5DC99}" name="Table1" displayName="Table1" ref="A4:DR74" totalsRowShown="0" headerRowDxfId="245" headerRowBorderDxfId="243" tableBorderDxfId="244">
  <autoFilter ref="A4:DR74" xr:uid="{93D7FF42-95AB-420D-99FD-3E2DD8B5DC99}"/>
  <sortState xmlns:xlrd2="http://schemas.microsoft.com/office/spreadsheetml/2017/richdata2" ref="A5:DR74">
    <sortCondition ref="B4:B74"/>
  </sortState>
  <tableColumns count="122">
    <tableColumn id="1" xr3:uid="{B4201E16-1C10-4470-9CAB-69E3CC73E35A}" name="Salesperson" dataDxfId="241" totalsRowDxfId="242"/>
    <tableColumn id="2" xr3:uid="{2199C433-DAB1-47CD-9594-8E660070621A}" name="Customer Name" dataDxfId="239" totalsRowDxfId="240"/>
    <tableColumn id="3" xr3:uid="{99B8E71F-E15C-4BC1-95B8-65FFB8BE0587}" name="2016 Sales" dataDxfId="237" totalsRowDxfId="238"/>
    <tableColumn id="4" xr3:uid="{0FF01741-6570-4947-A976-0C989F6B5E0D}" name="2017 Sales" dataDxfId="235" totalsRowDxfId="236"/>
    <tableColumn id="5" xr3:uid="{A2F26E8E-D5C1-4F82-BD54-97A842243A4D}" name="2018 Sales" dataDxfId="233" totalsRowDxfId="234"/>
    <tableColumn id="6" xr3:uid="{D4341B6F-6403-4FAB-9708-57C65A6BAD01}" name="2019 Sales" dataDxfId="231" totalsRowDxfId="232"/>
    <tableColumn id="7" xr3:uid="{81685253-B613-4781-96B4-E12336D24B46}" name="2020 Sales" dataDxfId="229" totalsRowDxfId="230"/>
    <tableColumn id="8" xr3:uid="{3D3684E8-6FBF-493B-8EE5-70F9BE7ADCD1}" name="2021 Sales" dataDxfId="227" totalsRowDxfId="228"/>
    <tableColumn id="9" xr3:uid="{2CA33035-889D-478C-B9DD-AE1582C19AB1}" name="2022 Sales" dataDxfId="225" totalsRowDxfId="226"/>
    <tableColumn id="10" xr3:uid="{8773D060-4279-4237-BC48-263D40A9CB25}" name="Current Year's Sales (Through 9 months)" dataDxfId="223" totalsRowDxfId="224"/>
    <tableColumn id="11" xr3:uid="{2A35AAD2-0E8D-4A9D-8EAD-62418B79D86D}" name="Current Year End Projected Sales" dataDxfId="221" totalsRowDxfId="222"/>
    <tableColumn id="12" xr3:uid="{569739C9-4C43-4757-8EE3-C44E65F837E0}" name="Jan Sales Forecast" dataDxfId="219" totalsRowDxfId="220"/>
    <tableColumn id="13" xr3:uid="{624DFE13-05A4-44DE-8D2F-02456AF3BF7E}" name="Jan Sales Target" dataDxfId="217" totalsRowDxfId="218"/>
    <tableColumn id="14" xr3:uid="{8633DDC9-78EA-4B26-85EA-28A10F2EE289}" name="Jan  GPP Forecast" dataDxfId="215" totalsRowDxfId="216"/>
    <tableColumn id="15" xr3:uid="{7DCB4C87-3910-417B-B108-537E9C89A7FA}" name="Jan GPD Forecast" dataDxfId="213" totalsRowDxfId="214" dataCellStyle="Currency"/>
    <tableColumn id="16" xr3:uid="{D6A1219B-DE31-4988-9B09-FEF4666CCE2C}" name="Jan GPP Target" dataDxfId="211" totalsRowDxfId="212"/>
    <tableColumn id="17" xr3:uid="{F04AAC73-DA08-443A-BA3B-66B8036CE241}" name="JAN GPD Target" dataDxfId="209" totalsRowDxfId="210"/>
    <tableColumn id="18" xr3:uid="{7898FC41-197D-4BA9-8605-C21178A593F5}" name="Jan  Calls Forecast" dataDxfId="207" totalsRowDxfId="208"/>
    <tableColumn id="19" xr3:uid="{0ACB6448-3A0A-49E4-B0C5-E5918D3A5AC8}" name="Jan Calls Target" dataDxfId="205" totalsRowDxfId="206"/>
    <tableColumn id="20" xr3:uid="{BA41EFB2-FA0D-4BE3-9123-1D3A1F122B9F}" name="Feb Sales Forecast" dataDxfId="203" totalsRowDxfId="204"/>
    <tableColumn id="21" xr3:uid="{1DA24662-E85C-40F9-AB55-9275D4AFAD09}" name="Feb Sales Target" dataDxfId="201" totalsRowDxfId="202"/>
    <tableColumn id="22" xr3:uid="{E0FFD18D-EDF1-4364-A531-6049AC12DA38}" name="Feb GPP Forecast" dataDxfId="199" totalsRowDxfId="200"/>
    <tableColumn id="23" xr3:uid="{122AF18C-885A-4028-BAAE-67A73AF3DDD7}" name="Feb GPD Forecast" dataDxfId="197" totalsRowDxfId="198"/>
    <tableColumn id="24" xr3:uid="{A4FEA7CF-E1F4-498C-8791-772A2F615802}" name="Feb GPP Target" dataDxfId="195" totalsRowDxfId="196"/>
    <tableColumn id="25" xr3:uid="{4BC439C9-9E59-4210-931D-B0B9ABCEC07F}" name="Feb GPD Target" dataDxfId="193" totalsRowDxfId="194"/>
    <tableColumn id="26" xr3:uid="{45F614DC-3D95-4D3B-B0B5-A0260596B2FA}" name="Feb  Calls Forecast" dataDxfId="191" totalsRowDxfId="192"/>
    <tableColumn id="27" xr3:uid="{A6E8E265-1177-4E69-9A4B-5061355C656E}" name="Feb Calls Target" dataDxfId="189" totalsRowDxfId="190"/>
    <tableColumn id="28" xr3:uid="{D9820A99-BD1E-4936-B26C-3ECDB6F360CE}" name="Mar Sales Forecast" dataDxfId="187" totalsRowDxfId="188"/>
    <tableColumn id="29" xr3:uid="{8996DBC6-17F6-4348-B791-76287EC110FA}" name="Mar Sales Target" dataDxfId="185" totalsRowDxfId="186"/>
    <tableColumn id="30" xr3:uid="{832D7D58-2824-461D-B10E-6965873CE5CF}" name="Mar GPP Forecast" dataDxfId="183" totalsRowDxfId="184"/>
    <tableColumn id="31" xr3:uid="{72A1D9CE-B6AF-4293-B98E-1B0013723E0D}" name="Mar GPD Forecast" dataDxfId="181" totalsRowDxfId="182"/>
    <tableColumn id="32" xr3:uid="{3E62A7A6-4827-4593-9A85-35FE4E4A5DD3}" name="Mar GPP Target" dataDxfId="179" totalsRowDxfId="180"/>
    <tableColumn id="33" xr3:uid="{7D38F309-B49C-4419-BBBE-C3759825C407}" name="Mar GPD Target" dataDxfId="177" totalsRowDxfId="178"/>
    <tableColumn id="34" xr3:uid="{F23FB841-B0AD-4BEC-B74D-AFDB1A33AB01}" name="Mar Calls Forecast" dataDxfId="175" totalsRowDxfId="176"/>
    <tableColumn id="35" xr3:uid="{AE0619EA-0A4D-4047-AA0F-B13B6A80B257}" name="Mar Calls Target" dataDxfId="173" totalsRowDxfId="174"/>
    <tableColumn id="36" xr3:uid="{B569779D-9F09-4C50-9370-00EEB5C7E818}" name="Apr Sales Forecast" dataDxfId="171" totalsRowDxfId="172"/>
    <tableColumn id="37" xr3:uid="{9E47AD70-B1A9-4C2D-868B-9E68947BAA4B}" name="Apr Sales Target" dataDxfId="169" totalsRowDxfId="170"/>
    <tableColumn id="38" xr3:uid="{A550DA41-DB3E-4A33-831D-4FE3EF555100}" name="April GPP Forecast" dataDxfId="167" totalsRowDxfId="168"/>
    <tableColumn id="39" xr3:uid="{143B4E9A-7848-4A2E-8F3D-3B897747BC1F}" name="April GPD Forecast" dataDxfId="165" totalsRowDxfId="166"/>
    <tableColumn id="40" xr3:uid="{C42669C1-7756-4641-85D3-D24620745F1D}" name="April GPP Target" dataDxfId="163" totalsRowDxfId="164"/>
    <tableColumn id="41" xr3:uid="{15CD23BB-2FEE-4907-AD3F-BAAC3C2CCDF3}" name="April GPD Target" dataDxfId="161" totalsRowDxfId="162"/>
    <tableColumn id="42" xr3:uid="{A30F2CEE-291A-4241-8B2A-3C7842E0AA41}" name="Apr Calls Forecast" dataDxfId="159" totalsRowDxfId="160"/>
    <tableColumn id="43" xr3:uid="{E053B9CF-D411-4DE5-A121-D6A4DBAA0B85}" name="Apr Calls Target" dataDxfId="157" totalsRowDxfId="158"/>
    <tableColumn id="44" xr3:uid="{AEEBC56F-43D6-4C06-AFCB-38C9AF6ABCAE}" name="May Sales Forecast" dataDxfId="155" totalsRowDxfId="156"/>
    <tableColumn id="45" xr3:uid="{174F91F3-46CD-44C3-B885-E654533EAC9B}" name="May Sales Target" dataDxfId="153" totalsRowDxfId="154"/>
    <tableColumn id="46" xr3:uid="{D8E9675D-92C4-4C39-A953-214B34549274}" name="May GPP Forecast" dataDxfId="151" totalsRowDxfId="152"/>
    <tableColumn id="47" xr3:uid="{FF2AA55D-FD7C-4F30-B5C7-381F2C10509D}" name="May GPD Forecast" dataDxfId="149" totalsRowDxfId="150"/>
    <tableColumn id="48" xr3:uid="{D4F24BAF-FAB1-4EE2-A255-2D792B1A7141}" name="May GPP Target" dataDxfId="147" totalsRowDxfId="148"/>
    <tableColumn id="49" xr3:uid="{10E956C9-13C3-42E4-B29E-8076074434B3}" name="May GPD Target" dataDxfId="145" totalsRowDxfId="146"/>
    <tableColumn id="50" xr3:uid="{7808F3DA-A83E-4F2C-A44C-5E115FE7608C}" name="May Calls Forecast" dataDxfId="143" totalsRowDxfId="144"/>
    <tableColumn id="51" xr3:uid="{15B8B0A5-98AC-43FA-99CD-D780EF47D18C}" name="May Calls Target" dataDxfId="141" totalsRowDxfId="142"/>
    <tableColumn id="52" xr3:uid="{C2CADF49-CE49-4D56-942A-D477DCDAE20F}" name="June Sales Forecast" dataDxfId="139" totalsRowDxfId="140"/>
    <tableColumn id="53" xr3:uid="{D699417D-FD9E-43FE-9F3C-D98F11F757A5}" name="June Sales Target" dataDxfId="137" totalsRowDxfId="138"/>
    <tableColumn id="54" xr3:uid="{DC393133-BF19-4999-B211-EBBC1307B2DA}" name="June GPP Forecast" dataDxfId="135" totalsRowDxfId="136"/>
    <tableColumn id="55" xr3:uid="{12493673-1B9B-4375-BBC9-BA000C67DD79}" name="June GPD Forecast" dataDxfId="133" totalsRowDxfId="134"/>
    <tableColumn id="56" xr3:uid="{A5B1776E-024B-46F1-96D0-C4C6FD5C85E0}" name="June GPP Target" dataDxfId="131" totalsRowDxfId="132"/>
    <tableColumn id="57" xr3:uid="{202AE7E8-2428-4644-928C-714603F75D55}" name="June GPD Target" dataDxfId="129" totalsRowDxfId="130"/>
    <tableColumn id="58" xr3:uid="{D69CCDE0-D864-4124-BB21-A50F22DE4D7E}" name="June Calls Forecast" dataDxfId="127" totalsRowDxfId="128"/>
    <tableColumn id="59" xr3:uid="{34365A2E-80EB-4132-BDF2-8B29290F0911}" name="June Calls Target" dataDxfId="125" totalsRowDxfId="126"/>
    <tableColumn id="60" xr3:uid="{D82816A3-4526-4E39-B4BD-F644DDBC50AE}" name="July Sales Forecast" dataDxfId="123" totalsRowDxfId="124"/>
    <tableColumn id="61" xr3:uid="{E2F4A29D-24AD-4BBE-9A68-3ECC3C78A995}" name="July Sales Target" dataDxfId="121" totalsRowDxfId="122"/>
    <tableColumn id="62" xr3:uid="{2645049A-8471-4466-997F-9A1970D5B37F}" name="July GPP Forecast" dataDxfId="119" totalsRowDxfId="120"/>
    <tableColumn id="63" xr3:uid="{407904D7-177C-4A52-AD4F-98EB2EE5F80E}" name="July GPD Forecast" dataDxfId="117" totalsRowDxfId="118"/>
    <tableColumn id="64" xr3:uid="{C246B0C0-8BD1-4507-8AF7-4F6B83794A2F}" name="July GPP Target" dataDxfId="115" totalsRowDxfId="116"/>
    <tableColumn id="65" xr3:uid="{B98A3F7C-8FE1-4DAD-B5AB-765A462E41A0}" name="July GPD Target" dataDxfId="113" totalsRowDxfId="114"/>
    <tableColumn id="66" xr3:uid="{33862910-ED13-4772-BE2C-DA1A88BFBFCE}" name="July Calls Forecast" dataDxfId="111" totalsRowDxfId="112"/>
    <tableColumn id="67" xr3:uid="{7F889E61-ACEE-4CC6-954E-0D4109273C23}" name="July Calls Target" dataDxfId="109" totalsRowDxfId="110"/>
    <tableColumn id="68" xr3:uid="{FC5B3DA3-8D33-4DA3-8EEA-49CA6E12FB2E}" name="Aug Sales Forecast" dataDxfId="107" totalsRowDxfId="108"/>
    <tableColumn id="69" xr3:uid="{26533816-7B83-4ED1-B426-AB42254F84A5}" name="Aug Sales Target" dataDxfId="105" totalsRowDxfId="106"/>
    <tableColumn id="70" xr3:uid="{1B2289D7-3ABB-458D-A38C-13522F3807A0}" name="Aug GPP Forecast" dataDxfId="103" totalsRowDxfId="104"/>
    <tableColumn id="71" xr3:uid="{7E2F62BB-9A7F-401A-B21B-DF19743C4153}" name="Aug GPD Forecast" dataDxfId="101" totalsRowDxfId="102"/>
    <tableColumn id="72" xr3:uid="{E534A642-05A3-4A45-985E-C657808E667A}" name="Aug GPP Target" dataDxfId="99" totalsRowDxfId="100"/>
    <tableColumn id="73" xr3:uid="{EAD6B8DC-E74D-4615-9F50-88F7B5056DB7}" name="Aug GPD Target" dataDxfId="97" totalsRowDxfId="98"/>
    <tableColumn id="74" xr3:uid="{F540FE2E-DC42-4B33-A183-7D08C621FB29}" name="Aug Calls Forecast" dataDxfId="95" totalsRowDxfId="96"/>
    <tableColumn id="75" xr3:uid="{3A3CD72C-DEA1-48DB-925E-281D831B40AA}" name="Aug Calls Target" dataDxfId="93" totalsRowDxfId="94"/>
    <tableColumn id="76" xr3:uid="{7B46C8D8-7F28-4A4E-9DD3-EDE2C89EC9A9}" name="Sept Sales Forecast" dataDxfId="91" totalsRowDxfId="92"/>
    <tableColumn id="77" xr3:uid="{6870E3CA-DCA9-48F7-9328-622A6994589D}" name="Sept Sales Target" dataDxfId="89" totalsRowDxfId="90"/>
    <tableColumn id="78" xr3:uid="{DA2BDD16-D74D-45CE-8230-CB43C9393AE5}" name="Sept GPP Forecast" dataDxfId="87" totalsRowDxfId="88"/>
    <tableColumn id="79" xr3:uid="{267E5830-9A4C-49EE-A63F-D7EA6945B1E2}" name="Sept GPD Forecast" dataDxfId="85" totalsRowDxfId="86"/>
    <tableColumn id="80" xr3:uid="{31A454E3-0F1D-403C-A008-22B1BF6FE1E7}" name="Sept GPP Target" dataDxfId="83" totalsRowDxfId="84"/>
    <tableColumn id="81" xr3:uid="{836AF543-778E-49FB-A5D5-0D971842828D}" name="Sept GPD Target" dataDxfId="81" totalsRowDxfId="82"/>
    <tableColumn id="82" xr3:uid="{44D81BDB-BADB-45A4-9BA2-4CA25C202C74}" name="Sept Calls Forecast" dataDxfId="79" totalsRowDxfId="80"/>
    <tableColumn id="83" xr3:uid="{8B9AC1E2-3F79-4F51-93F2-9BA81BC8E91A}" name="Sept Calls Target" dataDxfId="77" totalsRowDxfId="78"/>
    <tableColumn id="84" xr3:uid="{B053D639-2463-4706-A430-2A187EFA4B47}" name="Oct Sales Forecast" dataDxfId="75" totalsRowDxfId="76"/>
    <tableColumn id="85" xr3:uid="{743524C8-0CA9-4E55-8B2E-5A90DB41B062}" name="Oct Sales Target" dataDxfId="73" totalsRowDxfId="74"/>
    <tableColumn id="86" xr3:uid="{7CDED5EE-1ED7-41E0-940D-5F3C442ED9AA}" name="Oct GPP Forecast" dataDxfId="71" totalsRowDxfId="72"/>
    <tableColumn id="87" xr3:uid="{61075B15-BBBC-42FE-A9EF-19E5793DBEAB}" name="Oct GPD Forecast" dataDxfId="69" totalsRowDxfId="70"/>
    <tableColumn id="88" xr3:uid="{DEF47CE6-E1C3-4349-80D1-4D8F0570E5CB}" name="Oct GPP Target" dataDxfId="67" totalsRowDxfId="68"/>
    <tableColumn id="89" xr3:uid="{7A4952EB-97C1-4873-AA0C-EC8D970EF99C}" name="Oct GPD Target" dataDxfId="65" totalsRowDxfId="66" dataCellStyle="Currency"/>
    <tableColumn id="90" xr3:uid="{686C64B2-7D11-4BCA-AB7A-91B603DEFAA5}" name="Oct Calls Forecast" dataDxfId="63" totalsRowDxfId="64"/>
    <tableColumn id="91" xr3:uid="{10509C04-0AFC-4814-980B-8554D8AF67C3}" name="Oct Calls Target" dataDxfId="61" totalsRowDxfId="62"/>
    <tableColumn id="92" xr3:uid="{6F09844F-3A5F-497D-807E-1B517DA6A1B2}" name="Nov Sales Forecast" dataDxfId="59" totalsRowDxfId="60"/>
    <tableColumn id="93" xr3:uid="{1438BBB8-E6DD-4F7C-9FA0-DBADFE6E0240}" name="Nov Sales Target" dataDxfId="57" totalsRowDxfId="58"/>
    <tableColumn id="94" xr3:uid="{0EB7D9F4-B7A2-479E-9956-5513207893E1}" name="Nov GPP Forecast" dataDxfId="55" totalsRowDxfId="56"/>
    <tableColumn id="95" xr3:uid="{0C82476F-4DE4-4063-9646-91536EEC463D}" name="Nov GPD Forecast" dataDxfId="53" totalsRowDxfId="54" dataCellStyle="Currency"/>
    <tableColumn id="96" xr3:uid="{2C276F4F-B00C-4716-B8A4-A008BEE3D450}" name="Nov GPP Target" dataDxfId="51" totalsRowDxfId="52"/>
    <tableColumn id="97" xr3:uid="{2F85AAB8-0BAA-4E82-B5B2-6A3428912350}" name="Nov GPD Target" dataDxfId="49" totalsRowDxfId="50" dataCellStyle="Currency"/>
    <tableColumn id="98" xr3:uid="{2DCA417B-EE37-46DF-B4C6-4B2A854FED82}" name="Nov Calls Forecast" dataDxfId="47" totalsRowDxfId="48"/>
    <tableColumn id="99" xr3:uid="{7FCD9F50-31CF-4560-9FF5-9C42D7086923}" name="Nov Calls Target" dataDxfId="45" totalsRowDxfId="46"/>
    <tableColumn id="100" xr3:uid="{FC429DD3-CC64-4789-924D-C1DC3A2477F6}" name="Dec Sales Forecast" dataDxfId="43" totalsRowDxfId="44"/>
    <tableColumn id="101" xr3:uid="{72B097DE-C465-4DE3-8B4A-988C61A0FAC4}" name="Dec Sales Target" dataDxfId="41" totalsRowDxfId="42"/>
    <tableColumn id="102" xr3:uid="{90137F3E-D0BE-47F5-997B-BF60E8657B62}" name="Dec GPP Forecast" dataDxfId="39" totalsRowDxfId="40"/>
    <tableColumn id="103" xr3:uid="{F6EFAB24-8499-42B4-8F88-E707E63EDB78}" name="Dec GPD Forecast" dataDxfId="37" totalsRowDxfId="38" dataCellStyle="Currency"/>
    <tableColumn id="104" xr3:uid="{1DD77273-A3FB-4E17-AF87-007DA95D7BE3}" name="Dec GPP Target" dataDxfId="35" totalsRowDxfId="36"/>
    <tableColumn id="105" xr3:uid="{15B7AC54-80C4-487F-A681-6F00E11D1677}" name="Dec GPD Target" dataDxfId="33" totalsRowDxfId="34"/>
    <tableColumn id="106" xr3:uid="{0106A90E-BA7C-4726-B7A7-FDA7266158FC}" name="Dec Calls Forecast" dataDxfId="31" totalsRowDxfId="32"/>
    <tableColumn id="107" xr3:uid="{DF69D606-1DBA-469A-A985-A6710E0BE10C}" name="Dec Calls Target" dataDxfId="29" totalsRowDxfId="30"/>
    <tableColumn id="108" xr3:uid="{A2F2F651-0275-41C5-B612-3FC71CEF4160}" name="Total Sales Forecast" dataDxfId="27" totalsRowDxfId="28"/>
    <tableColumn id="109" xr3:uid="{3F76243E-89CD-4C4B-8004-8B82E7FFC51F}" name="Total GPD Forecast" dataDxfId="25" totalsRowDxfId="26"/>
    <tableColumn id="110" xr3:uid="{F65AF94D-226C-4065-B2F4-302FE42BA142}" name="Total GPP Forecast" dataDxfId="23" totalsRowDxfId="24">
      <calculatedColumnFormula>DE5/DD5</calculatedColumnFormula>
    </tableColumn>
    <tableColumn id="111" xr3:uid="{49F5C98A-7CD8-47BE-B906-17361652B2FC}" name="Total Sales Target" dataDxfId="21" totalsRowDxfId="22"/>
    <tableColumn id="112" xr3:uid="{0FE7CCF7-27B0-4740-9DAC-0153AD79CD4B}" name="Total GPD Target" dataDxfId="19" totalsRowDxfId="20"/>
    <tableColumn id="113" xr3:uid="{EB9EAA8B-5F55-400B-99EB-128804D013EE}" name="Total GPP Target" dataDxfId="17" totalsRowDxfId="18">
      <calculatedColumnFormula>DH5/DG5</calculatedColumnFormula>
    </tableColumn>
    <tableColumn id="114" xr3:uid="{FBC2B4EB-F639-469E-899F-28D99A5624FE}" name="Total Calls Forecast" dataDxfId="15" totalsRowDxfId="16"/>
    <tableColumn id="115" xr3:uid="{3E779FFC-4F16-4E8E-B47A-BB8D90F8F893}" name="Total Calls Target" dataDxfId="13" totalsRowDxfId="14"/>
    <tableColumn id="116" xr3:uid="{797774C4-7D35-40EF-935B-6FA192281AB6}" name="Strategy" dataDxfId="11" totalsRowDxfId="12"/>
    <tableColumn id="117" xr3:uid="{FCC0E6ED-DAEA-48EB-9D24-AE90ED7C24B0}" name="Potential" dataDxfId="9" totalsRowDxfId="10"/>
    <tableColumn id="118" xr3:uid="{39946FF6-F8B5-43B7-8D24-080882E4250E}" name="Current Opportunity" dataDxfId="7" totalsRowDxfId="8"/>
    <tableColumn id="119" xr3:uid="{DF7EA522-EA6D-465A-BB8B-3B1581B86A1F}" name="Future Opportunity" dataDxfId="5" totalsRowDxfId="6"/>
    <tableColumn id="120" xr3:uid="{34C8BC73-9F3A-4267-B12E-3DAFDA15BCDD}" name="Market Share" dataDxfId="3" totalsRowDxfId="4">
      <calculatedColumnFormula>DD5/DM5</calculatedColumnFormula>
    </tableColumn>
    <tableColumn id="121" xr3:uid="{B4DCF1BC-3B3F-4B06-AA69-CE37B5049545}" name="At Risk" dataDxfId="1" totalsRowDxfId="2"/>
    <tableColumn id="122" xr3:uid="{6574275D-50D8-4C13-B77A-7D199E13B968}" name="Risk Explan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 dT="2024-04-19T12:54:36.95" personId="{4704B07F-81E8-49A4-B526-51FC58C2F81A}" id="{B724D037-8999-404D-9D1D-4E502E02C52F}">
    <text>Customer will decide when to run their report and dates. In this example, these values are through  3 qtrs/9 mos.</text>
  </threadedComment>
  <threadedComment ref="K4" dT="2024-01-28T17:28:23.37" personId="{4704B07F-81E8-49A4-B526-51FC58C2F81A}" id="{8C6CBCFB-C439-419C-8432-2EA33AADDC0A}">
    <text>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ext>
  </threadedComment>
</ThreadedComments>
</file>

<file path=xl/threadedComments/threadedComment2.xml><?xml version="1.0" encoding="utf-8"?>
<ThreadedComments xmlns="http://schemas.microsoft.com/office/spreadsheetml/2018/threadedcomments" xmlns:x="http://schemas.openxmlformats.org/spreadsheetml/2006/main">
  <threadedComment ref="G10" dT="2024-04-19T12:54:36.95" personId="{4704B07F-81E8-49A4-B526-51FC58C2F81A}" id="{9C0BE0AD-9FB3-4D48-A4EF-1B951F6BB8F7}">
    <text xml:space="preserve">Customer will decide when to run their report and dates
</text>
  </threadedComment>
  <threadedComment ref="H10" dT="2024-01-28T17:28:23.37" personId="{4704B07F-81E8-49A4-B526-51FC58C2F81A}" id="{350C70ED-C488-46E7-9B9D-A03B2AFA2671}">
    <text>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E2FF-9156-41B2-8008-875933BCFEF1}">
  <dimension ref="A1:DR76"/>
  <sheetViews>
    <sheetView tabSelected="1" zoomScale="60" zoomScaleNormal="60" workbookViewId="0">
      <pane xSplit="2" ySplit="8" topLeftCell="C9" activePane="bottomRight" state="frozen"/>
      <selection pane="bottomRight" activeCell="A4" sqref="A4:XFD4"/>
      <selection pane="bottomLeft" activeCell="A5" sqref="A5"/>
      <selection pane="topRight" activeCell="C1" sqref="C1"/>
    </sheetView>
  </sheetViews>
  <sheetFormatPr defaultRowHeight="14.45"/>
  <cols>
    <col min="1" max="1" width="15.42578125" customWidth="1"/>
    <col min="2" max="2" width="17.28515625" style="3" customWidth="1"/>
    <col min="3" max="9" width="12.28515625" style="3" customWidth="1"/>
    <col min="10" max="10" width="37.85546875" customWidth="1"/>
    <col min="11" max="11" width="31.5703125" customWidth="1"/>
    <col min="12" max="12" width="18.28515625" customWidth="1"/>
    <col min="13" max="13" width="14.28515625" customWidth="1"/>
    <col min="14" max="14" width="17.85546875" customWidth="1"/>
    <col min="15" max="15" width="13.28515625" customWidth="1"/>
    <col min="16" max="17" width="13.5703125" customWidth="1"/>
    <col min="18" max="18" width="18.28515625" customWidth="1"/>
    <col min="19" max="19" width="13.85546875" customWidth="1"/>
    <col min="20" max="20" width="18.7109375" customWidth="1"/>
    <col min="21" max="21" width="17" customWidth="1"/>
    <col min="22" max="22" width="17.85546875" customWidth="1"/>
    <col min="23" max="23" width="14.140625" customWidth="1"/>
    <col min="24" max="25" width="13.7109375" customWidth="1"/>
    <col min="26" max="26" width="18.7109375" customWidth="1"/>
    <col min="27" max="27" width="14.140625" customWidth="1"/>
    <col min="28" max="28" width="19" customWidth="1"/>
    <col min="29" max="29" width="17.28515625" customWidth="1"/>
    <col min="30" max="30" width="20.28515625" bestFit="1" customWidth="1"/>
    <col min="31" max="31" width="19.28515625" customWidth="1"/>
    <col min="32" max="32" width="19.28515625" bestFit="1" customWidth="1"/>
    <col min="33" max="33" width="19.28515625" customWidth="1"/>
    <col min="34" max="34" width="20.7109375" bestFit="1" customWidth="1"/>
    <col min="35" max="35" width="19.7109375" customWidth="1"/>
    <col min="36" max="36" width="20.7109375" bestFit="1" customWidth="1"/>
    <col min="37" max="37" width="20.140625" bestFit="1" customWidth="1"/>
    <col min="38" max="38" width="20.7109375" bestFit="1" customWidth="1"/>
    <col min="39" max="39" width="20.42578125" customWidth="1"/>
    <col min="40" max="40" width="20.42578125" bestFit="1" customWidth="1"/>
    <col min="41" max="41" width="20.42578125" customWidth="1"/>
    <col min="42" max="42" width="20.28515625" bestFit="1" customWidth="1"/>
    <col min="43" max="43" width="19.5703125" customWidth="1"/>
    <col min="44" max="44" width="21.42578125" bestFit="1" customWidth="1"/>
    <col min="45" max="46" width="20.7109375" bestFit="1" customWidth="1"/>
    <col min="47" max="47" width="19.5703125" customWidth="1"/>
    <col min="48" max="48" width="19.5703125" bestFit="1" customWidth="1"/>
    <col min="49" max="49" width="19.5703125" customWidth="1"/>
    <col min="50" max="50" width="21" bestFit="1" customWidth="1"/>
    <col min="51" max="51" width="20.140625" customWidth="1"/>
    <col min="52" max="52" width="21.7109375" bestFit="1" customWidth="1"/>
    <col min="53" max="53" width="21.5703125" bestFit="1" customWidth="1"/>
    <col min="54" max="54" width="20.7109375" bestFit="1" customWidth="1"/>
    <col min="55" max="55" width="20.42578125" customWidth="1"/>
    <col min="56" max="56" width="20.42578125" bestFit="1" customWidth="1"/>
    <col min="57" max="57" width="20.42578125" customWidth="1"/>
    <col min="58" max="58" width="21.140625" bestFit="1" customWidth="1"/>
    <col min="59" max="59" width="21" customWidth="1"/>
    <col min="60" max="61" width="20.85546875" bestFit="1" customWidth="1"/>
    <col min="62" max="62" width="20.140625" bestFit="1" customWidth="1"/>
    <col min="63" max="63" width="19.7109375" customWidth="1"/>
    <col min="64" max="64" width="19.7109375" bestFit="1" customWidth="1"/>
    <col min="65" max="65" width="19.7109375" customWidth="1"/>
    <col min="66" max="66" width="20.42578125" bestFit="1" customWidth="1"/>
    <col min="67" max="67" width="20.28515625" customWidth="1"/>
    <col min="68" max="68" width="21" bestFit="1" customWidth="1"/>
    <col min="69" max="69" width="20.7109375" bestFit="1" customWidth="1"/>
    <col min="70" max="70" width="20.28515625" bestFit="1" customWidth="1"/>
    <col min="71" max="71" width="19.5703125" customWidth="1"/>
    <col min="72" max="72" width="19.5703125" bestFit="1" customWidth="1"/>
    <col min="73" max="73" width="19.5703125" customWidth="1"/>
    <col min="74" max="74" width="20.5703125" bestFit="1" customWidth="1"/>
    <col min="75" max="75" width="20.140625" customWidth="1"/>
    <col min="76" max="76" width="21.42578125" bestFit="1" customWidth="1"/>
    <col min="77" max="77" width="21.28515625" bestFit="1" customWidth="1"/>
    <col min="78" max="78" width="20.7109375" bestFit="1" customWidth="1"/>
    <col min="79" max="79" width="20.140625" customWidth="1"/>
    <col min="80" max="80" width="20.140625" bestFit="1" customWidth="1"/>
    <col min="81" max="81" width="20.140625" customWidth="1"/>
    <col min="82" max="82" width="21" bestFit="1" customWidth="1"/>
    <col min="83" max="83" width="20.7109375" customWidth="1"/>
    <col min="84" max="84" width="20.5703125" bestFit="1" customWidth="1"/>
    <col min="85" max="85" width="19.85546875" bestFit="1" customWidth="1"/>
    <col min="86" max="86" width="19.7109375" bestFit="1" customWidth="1"/>
    <col min="87" max="87" width="18.7109375" customWidth="1"/>
    <col min="88" max="88" width="18.7109375" bestFit="1" customWidth="1"/>
    <col min="89" max="89" width="18.7109375" customWidth="1"/>
    <col min="90" max="90" width="20.140625" bestFit="1" customWidth="1"/>
    <col min="91" max="91" width="19.28515625" customWidth="1"/>
    <col min="92" max="92" width="21.140625" bestFit="1" customWidth="1"/>
    <col min="93" max="94" width="20.28515625" bestFit="1" customWidth="1"/>
    <col min="95" max="95" width="19.28515625" customWidth="1"/>
    <col min="96" max="96" width="19.28515625" bestFit="1" customWidth="1"/>
    <col min="97" max="97" width="19.28515625" customWidth="1"/>
    <col min="98" max="98" width="20.7109375" bestFit="1" customWidth="1"/>
    <col min="99" max="99" width="19.7109375" customWidth="1"/>
    <col min="100" max="100" width="20.7109375" bestFit="1" customWidth="1"/>
    <col min="101" max="101" width="20.28515625" bestFit="1" customWidth="1"/>
    <col min="102" max="102" width="20" bestFit="1" customWidth="1"/>
    <col min="103" max="103" width="19.28515625" customWidth="1"/>
    <col min="104" max="104" width="19.28515625" bestFit="1" customWidth="1"/>
    <col min="105" max="105" width="19.28515625" customWidth="1"/>
    <col min="106" max="106" width="20.28515625" bestFit="1" customWidth="1"/>
    <col min="107" max="107" width="12.28515625" customWidth="1"/>
    <col min="108" max="108" width="23.7109375" bestFit="1" customWidth="1"/>
    <col min="109" max="110" width="22.7109375" bestFit="1" customWidth="1"/>
    <col min="111" max="111" width="23.7109375" bestFit="1" customWidth="1"/>
    <col min="112" max="113" width="22.7109375" bestFit="1" customWidth="1"/>
    <col min="114" max="115" width="23.28515625" bestFit="1" customWidth="1"/>
    <col min="116" max="116" width="35.7109375" customWidth="1"/>
    <col min="117" max="117" width="12.140625" customWidth="1"/>
    <col min="118" max="118" width="21.140625" customWidth="1"/>
    <col min="119" max="119" width="20.140625" customWidth="1"/>
    <col min="120" max="120" width="14.7109375" customWidth="1"/>
    <col min="121" max="121" width="12.7109375" customWidth="1"/>
    <col min="122" max="122" width="38.28515625" customWidth="1"/>
  </cols>
  <sheetData>
    <row r="1" spans="1:122">
      <c r="B1" s="16" t="s">
        <v>0</v>
      </c>
    </row>
    <row r="2" spans="1:122">
      <c r="B2" s="16">
        <v>2025</v>
      </c>
    </row>
    <row r="3" spans="1:122">
      <c r="L3">
        <v>12</v>
      </c>
    </row>
    <row r="4" spans="1:122" s="18" customFormat="1" ht="31.9" customHeight="1" thickBot="1">
      <c r="A4" s="33" t="s">
        <v>1</v>
      </c>
      <c r="B4" s="34" t="s">
        <v>2</v>
      </c>
      <c r="C4" s="34" t="s">
        <v>3</v>
      </c>
      <c r="D4" s="34" t="s">
        <v>4</v>
      </c>
      <c r="E4" s="34" t="s">
        <v>5</v>
      </c>
      <c r="F4" s="34" t="s">
        <v>6</v>
      </c>
      <c r="G4" s="34" t="s">
        <v>7</v>
      </c>
      <c r="H4" s="34" t="s">
        <v>8</v>
      </c>
      <c r="I4" s="34" t="s">
        <v>9</v>
      </c>
      <c r="J4" s="34" t="s">
        <v>10</v>
      </c>
      <c r="K4" s="34" t="s">
        <v>11</v>
      </c>
      <c r="L4" s="34" t="s">
        <v>12</v>
      </c>
      <c r="M4" s="34" t="s">
        <v>13</v>
      </c>
      <c r="N4" s="34" t="s">
        <v>14</v>
      </c>
      <c r="O4" s="34" t="s">
        <v>15</v>
      </c>
      <c r="P4" s="34" t="s">
        <v>16</v>
      </c>
      <c r="Q4" s="34" t="s">
        <v>17</v>
      </c>
      <c r="R4" s="34" t="s">
        <v>18</v>
      </c>
      <c r="S4" s="34" t="s">
        <v>19</v>
      </c>
      <c r="T4" s="34" t="s">
        <v>20</v>
      </c>
      <c r="U4" s="34" t="s">
        <v>21</v>
      </c>
      <c r="V4" s="34" t="s">
        <v>22</v>
      </c>
      <c r="W4" s="34" t="s">
        <v>23</v>
      </c>
      <c r="X4" s="34" t="s">
        <v>24</v>
      </c>
      <c r="Y4" s="34" t="s">
        <v>25</v>
      </c>
      <c r="Z4" s="34" t="s">
        <v>26</v>
      </c>
      <c r="AA4" s="34" t="s">
        <v>27</v>
      </c>
      <c r="AB4" s="34" t="s">
        <v>28</v>
      </c>
      <c r="AC4" s="34" t="s">
        <v>29</v>
      </c>
      <c r="AD4" s="34" t="s">
        <v>30</v>
      </c>
      <c r="AE4" s="34" t="s">
        <v>31</v>
      </c>
      <c r="AF4" s="34" t="s">
        <v>32</v>
      </c>
      <c r="AG4" s="34" t="s">
        <v>33</v>
      </c>
      <c r="AH4" s="34" t="s">
        <v>34</v>
      </c>
      <c r="AI4" s="34" t="s">
        <v>35</v>
      </c>
      <c r="AJ4" s="34" t="s">
        <v>36</v>
      </c>
      <c r="AK4" s="34" t="s">
        <v>37</v>
      </c>
      <c r="AL4" s="34" t="s">
        <v>38</v>
      </c>
      <c r="AM4" s="34" t="s">
        <v>39</v>
      </c>
      <c r="AN4" s="34" t="s">
        <v>40</v>
      </c>
      <c r="AO4" s="34" t="s">
        <v>41</v>
      </c>
      <c r="AP4" s="34" t="s">
        <v>42</v>
      </c>
      <c r="AQ4" s="34" t="s">
        <v>43</v>
      </c>
      <c r="AR4" s="34" t="s">
        <v>44</v>
      </c>
      <c r="AS4" s="34" t="s">
        <v>45</v>
      </c>
      <c r="AT4" s="34" t="s">
        <v>46</v>
      </c>
      <c r="AU4" s="34" t="s">
        <v>47</v>
      </c>
      <c r="AV4" s="34" t="s">
        <v>48</v>
      </c>
      <c r="AW4" s="34" t="s">
        <v>49</v>
      </c>
      <c r="AX4" s="34" t="s">
        <v>50</v>
      </c>
      <c r="AY4" s="34" t="s">
        <v>51</v>
      </c>
      <c r="AZ4" s="34" t="s">
        <v>52</v>
      </c>
      <c r="BA4" s="34" t="s">
        <v>53</v>
      </c>
      <c r="BB4" s="34" t="s">
        <v>54</v>
      </c>
      <c r="BC4" s="34" t="s">
        <v>55</v>
      </c>
      <c r="BD4" s="34" t="s">
        <v>56</v>
      </c>
      <c r="BE4" s="34" t="s">
        <v>57</v>
      </c>
      <c r="BF4" s="34" t="s">
        <v>58</v>
      </c>
      <c r="BG4" s="34" t="s">
        <v>59</v>
      </c>
      <c r="BH4" s="34" t="s">
        <v>60</v>
      </c>
      <c r="BI4" s="34" t="s">
        <v>61</v>
      </c>
      <c r="BJ4" s="34" t="s">
        <v>62</v>
      </c>
      <c r="BK4" s="34" t="s">
        <v>63</v>
      </c>
      <c r="BL4" s="34" t="s">
        <v>64</v>
      </c>
      <c r="BM4" s="34" t="s">
        <v>65</v>
      </c>
      <c r="BN4" s="34" t="s">
        <v>66</v>
      </c>
      <c r="BO4" s="34" t="s">
        <v>67</v>
      </c>
      <c r="BP4" s="34" t="s">
        <v>68</v>
      </c>
      <c r="BQ4" s="34" t="s">
        <v>69</v>
      </c>
      <c r="BR4" s="34" t="s">
        <v>70</v>
      </c>
      <c r="BS4" s="34" t="s">
        <v>71</v>
      </c>
      <c r="BT4" s="34" t="s">
        <v>72</v>
      </c>
      <c r="BU4" s="34" t="s">
        <v>73</v>
      </c>
      <c r="BV4" s="34" t="s">
        <v>74</v>
      </c>
      <c r="BW4" s="34" t="s">
        <v>75</v>
      </c>
      <c r="BX4" s="34" t="s">
        <v>76</v>
      </c>
      <c r="BY4" s="34" t="s">
        <v>77</v>
      </c>
      <c r="BZ4" s="34" t="s">
        <v>78</v>
      </c>
      <c r="CA4" s="34" t="s">
        <v>79</v>
      </c>
      <c r="CB4" s="34" t="s">
        <v>80</v>
      </c>
      <c r="CC4" s="34" t="s">
        <v>81</v>
      </c>
      <c r="CD4" s="34" t="s">
        <v>82</v>
      </c>
      <c r="CE4" s="34" t="s">
        <v>83</v>
      </c>
      <c r="CF4" s="34" t="s">
        <v>84</v>
      </c>
      <c r="CG4" s="34" t="s">
        <v>85</v>
      </c>
      <c r="CH4" s="34" t="s">
        <v>86</v>
      </c>
      <c r="CI4" s="34" t="s">
        <v>87</v>
      </c>
      <c r="CJ4" s="34" t="s">
        <v>88</v>
      </c>
      <c r="CK4" s="34" t="s">
        <v>89</v>
      </c>
      <c r="CL4" s="34" t="s">
        <v>90</v>
      </c>
      <c r="CM4" s="34" t="s">
        <v>91</v>
      </c>
      <c r="CN4" s="34" t="s">
        <v>92</v>
      </c>
      <c r="CO4" s="34" t="s">
        <v>93</v>
      </c>
      <c r="CP4" s="34" t="s">
        <v>94</v>
      </c>
      <c r="CQ4" s="34" t="s">
        <v>95</v>
      </c>
      <c r="CR4" s="34" t="s">
        <v>96</v>
      </c>
      <c r="CS4" s="34" t="s">
        <v>97</v>
      </c>
      <c r="CT4" s="34" t="s">
        <v>98</v>
      </c>
      <c r="CU4" s="34" t="s">
        <v>99</v>
      </c>
      <c r="CV4" s="34" t="s">
        <v>100</v>
      </c>
      <c r="CW4" s="34" t="s">
        <v>101</v>
      </c>
      <c r="CX4" s="34" t="s">
        <v>102</v>
      </c>
      <c r="CY4" s="34" t="s">
        <v>103</v>
      </c>
      <c r="CZ4" s="34" t="s">
        <v>104</v>
      </c>
      <c r="DA4" s="34" t="s">
        <v>105</v>
      </c>
      <c r="DB4" s="34" t="s">
        <v>106</v>
      </c>
      <c r="DC4" s="34" t="s">
        <v>107</v>
      </c>
      <c r="DD4" s="34" t="s">
        <v>108</v>
      </c>
      <c r="DE4" s="34" t="s">
        <v>109</v>
      </c>
      <c r="DF4" s="34" t="s">
        <v>110</v>
      </c>
      <c r="DG4" s="34" t="s">
        <v>111</v>
      </c>
      <c r="DH4" s="34" t="s">
        <v>112</v>
      </c>
      <c r="DI4" s="34" t="s">
        <v>113</v>
      </c>
      <c r="DJ4" s="34" t="s">
        <v>114</v>
      </c>
      <c r="DK4" s="34" t="s">
        <v>115</v>
      </c>
      <c r="DL4" s="34" t="s">
        <v>116</v>
      </c>
      <c r="DM4" s="34" t="s">
        <v>117</v>
      </c>
      <c r="DN4" s="34" t="s">
        <v>118</v>
      </c>
      <c r="DO4" s="34" t="s">
        <v>119</v>
      </c>
      <c r="DP4" s="34" t="s">
        <v>120</v>
      </c>
      <c r="DQ4" s="34" t="s">
        <v>121</v>
      </c>
      <c r="DR4" s="35" t="s">
        <v>122</v>
      </c>
    </row>
    <row r="5" spans="1:122">
      <c r="A5" s="3" t="s">
        <v>123</v>
      </c>
      <c r="B5" s="3" t="s">
        <v>124</v>
      </c>
      <c r="C5" s="19">
        <v>35000</v>
      </c>
      <c r="D5" s="19">
        <v>75700</v>
      </c>
      <c r="E5" s="19">
        <v>120000</v>
      </c>
      <c r="F5" s="19">
        <v>201456</v>
      </c>
      <c r="G5" s="19">
        <v>55000</v>
      </c>
      <c r="H5" s="19">
        <v>90000</v>
      </c>
      <c r="I5" s="19">
        <v>125600</v>
      </c>
      <c r="J5" s="30">
        <v>109780</v>
      </c>
      <c r="K5" s="30">
        <f t="shared" ref="K5:K25" si="0">(J5/9)*12</f>
        <v>146373.33333333331</v>
      </c>
      <c r="L5" s="19">
        <v>12500</v>
      </c>
      <c r="M5" s="19">
        <v>17000</v>
      </c>
      <c r="N5" s="26">
        <v>0.25</v>
      </c>
      <c r="O5" s="25">
        <f t="shared" ref="O5:O25" si="1">N5*L5</f>
        <v>3125</v>
      </c>
      <c r="P5" s="26">
        <v>0.30399999999999999</v>
      </c>
      <c r="Q5" s="19">
        <f t="shared" ref="Q5:Q25" si="2">P5*M5</f>
        <v>5168</v>
      </c>
      <c r="R5" s="20">
        <v>4</v>
      </c>
      <c r="S5" s="20">
        <v>4</v>
      </c>
      <c r="T5" s="19">
        <v>12500</v>
      </c>
      <c r="U5" s="19">
        <v>17000</v>
      </c>
      <c r="V5" s="26">
        <v>0.25</v>
      </c>
      <c r="W5" s="19">
        <f t="shared" ref="W5:W25" si="3">V5*T5</f>
        <v>3125</v>
      </c>
      <c r="X5" s="26">
        <v>0.30399999999999999</v>
      </c>
      <c r="Y5" s="19">
        <f t="shared" ref="Y5:Y25" si="4">X5*U5</f>
        <v>5168</v>
      </c>
      <c r="Z5" s="21">
        <v>3</v>
      </c>
      <c r="AA5" s="21">
        <v>4</v>
      </c>
      <c r="AB5" s="19">
        <v>13000</v>
      </c>
      <c r="AC5" s="19">
        <v>17000</v>
      </c>
      <c r="AD5" s="26">
        <v>0.25</v>
      </c>
      <c r="AE5" s="19">
        <f t="shared" ref="AE5:AE25" si="5">AD5*AB5</f>
        <v>3250</v>
      </c>
      <c r="AF5" s="26">
        <v>0.30399999999999999</v>
      </c>
      <c r="AG5" s="19">
        <f t="shared" ref="AG5:AG25" si="6">AF5*AC5</f>
        <v>5168</v>
      </c>
      <c r="AH5" s="21">
        <v>3</v>
      </c>
      <c r="AI5" s="21">
        <v>4</v>
      </c>
      <c r="AJ5" s="19">
        <v>13000</v>
      </c>
      <c r="AK5" s="19">
        <v>17000</v>
      </c>
      <c r="AL5" s="26">
        <v>0.25</v>
      </c>
      <c r="AM5" s="19">
        <f t="shared" ref="AM5:AM25" si="7">AL5*AJ5</f>
        <v>3250</v>
      </c>
      <c r="AN5" s="26">
        <v>0.30399999999999999</v>
      </c>
      <c r="AO5" s="19">
        <f t="shared" ref="AO5:AO25" si="8">AN5*AK5</f>
        <v>5168</v>
      </c>
      <c r="AP5" s="21">
        <v>3</v>
      </c>
      <c r="AQ5" s="21">
        <v>4</v>
      </c>
      <c r="AR5" s="19">
        <v>13000</v>
      </c>
      <c r="AS5" s="19">
        <v>17000</v>
      </c>
      <c r="AT5" s="26">
        <v>0.25</v>
      </c>
      <c r="AU5" s="19">
        <f t="shared" ref="AU5:AU25" si="9">AT5*AR5</f>
        <v>3250</v>
      </c>
      <c r="AV5" s="26">
        <v>0.30399999999999999</v>
      </c>
      <c r="AW5" s="19">
        <f t="shared" ref="AW5:AW25" si="10">AV5*AS5</f>
        <v>5168</v>
      </c>
      <c r="AX5" s="21">
        <v>3</v>
      </c>
      <c r="AY5" s="21">
        <v>4</v>
      </c>
      <c r="AZ5" s="19">
        <v>16000</v>
      </c>
      <c r="BA5" s="19">
        <v>17000</v>
      </c>
      <c r="BB5" s="26">
        <v>0.25</v>
      </c>
      <c r="BC5" s="19">
        <f t="shared" ref="BC5:BC25" si="11">AZ5*BB5</f>
        <v>4000</v>
      </c>
      <c r="BD5" s="26">
        <v>0.30399999999999999</v>
      </c>
      <c r="BE5" s="19">
        <f t="shared" ref="BE5:BE25" si="12">BD5*BA5</f>
        <v>5168</v>
      </c>
      <c r="BF5" s="21">
        <v>4</v>
      </c>
      <c r="BG5" s="21">
        <v>4</v>
      </c>
      <c r="BH5" s="19">
        <v>16000</v>
      </c>
      <c r="BI5" s="19">
        <v>17000</v>
      </c>
      <c r="BJ5" s="26">
        <v>0.25</v>
      </c>
      <c r="BK5" s="19">
        <f t="shared" ref="BK5:BK25" si="13">BJ5*BH5</f>
        <v>4000</v>
      </c>
      <c r="BL5" s="26">
        <v>0.30399999999999999</v>
      </c>
      <c r="BM5" s="19">
        <f t="shared" ref="BM5:BM25" si="14">BL5*BI5</f>
        <v>5168</v>
      </c>
      <c r="BN5" s="21">
        <v>3</v>
      </c>
      <c r="BO5" s="21">
        <v>4</v>
      </c>
      <c r="BP5" s="19">
        <v>16000</v>
      </c>
      <c r="BQ5" s="19">
        <v>17000</v>
      </c>
      <c r="BR5" s="26">
        <v>0.25</v>
      </c>
      <c r="BS5" s="19">
        <f t="shared" ref="BS5:BS25" si="15">BR5*BP5</f>
        <v>4000</v>
      </c>
      <c r="BT5" s="26">
        <v>0.30399999999999999</v>
      </c>
      <c r="BU5" s="19">
        <f t="shared" ref="BU5:BU25" si="16">BT5*BQ5</f>
        <v>5168</v>
      </c>
      <c r="BV5" s="21">
        <v>3</v>
      </c>
      <c r="BW5" s="21">
        <v>4</v>
      </c>
      <c r="BX5" s="19">
        <v>16000</v>
      </c>
      <c r="BY5" s="19">
        <v>17000</v>
      </c>
      <c r="BZ5" s="22">
        <v>0.25</v>
      </c>
      <c r="CA5" s="19">
        <f t="shared" ref="CA5:CA25" si="17">BZ5*BX5</f>
        <v>4000</v>
      </c>
      <c r="CB5" s="26">
        <v>0.30399999999999999</v>
      </c>
      <c r="CC5" s="19">
        <f t="shared" ref="CC5:CC25" si="18">CB5*BY5</f>
        <v>5168</v>
      </c>
      <c r="CD5" s="21">
        <v>3</v>
      </c>
      <c r="CE5" s="21">
        <v>4</v>
      </c>
      <c r="CF5" s="19">
        <v>16500</v>
      </c>
      <c r="CG5" s="19">
        <v>17000</v>
      </c>
      <c r="CH5" s="26">
        <v>0.25</v>
      </c>
      <c r="CI5" s="19">
        <f t="shared" ref="CI5:CI25" si="19">CH5*CF5</f>
        <v>4125</v>
      </c>
      <c r="CJ5" s="26">
        <v>0.30399999999999999</v>
      </c>
      <c r="CK5" s="25">
        <f t="shared" ref="CK5:CK25" si="20">CJ5*CG5</f>
        <v>5168</v>
      </c>
      <c r="CL5" s="21">
        <v>3</v>
      </c>
      <c r="CM5" s="21">
        <v>4</v>
      </c>
      <c r="CN5" s="19">
        <v>16500</v>
      </c>
      <c r="CO5" s="19">
        <v>17000</v>
      </c>
      <c r="CP5" s="26">
        <v>0.25</v>
      </c>
      <c r="CQ5" s="25">
        <f t="shared" ref="CQ5:CQ25" si="21">CN5*CP5</f>
        <v>4125</v>
      </c>
      <c r="CR5" s="26">
        <v>0.255</v>
      </c>
      <c r="CS5" s="25">
        <f t="shared" ref="CS5:CS25" si="22">CR5*CO5</f>
        <v>4335</v>
      </c>
      <c r="CT5" s="21">
        <v>3</v>
      </c>
      <c r="CU5" s="21">
        <v>4</v>
      </c>
      <c r="CV5" s="19">
        <v>16500</v>
      </c>
      <c r="CW5" s="19">
        <v>17000</v>
      </c>
      <c r="CX5" s="26">
        <v>0.25</v>
      </c>
      <c r="CY5" s="25">
        <f t="shared" ref="CY5:CY25" si="23">CX5*CV5</f>
        <v>4125</v>
      </c>
      <c r="CZ5" s="26">
        <v>0.30399999999999999</v>
      </c>
      <c r="DA5" s="19">
        <f t="shared" ref="DA5:DA25" si="24">CZ5*CW5</f>
        <v>5168</v>
      </c>
      <c r="DB5" s="21">
        <v>3</v>
      </c>
      <c r="DC5" s="21">
        <v>3</v>
      </c>
      <c r="DD5" s="19">
        <f t="shared" ref="DD5:DD25" si="25">SUM(L5,T5,AB5,AJ5,AR5,AZ5,BH5,BP5,BX5,CF5,CN5,CV5)</f>
        <v>177500</v>
      </c>
      <c r="DE5" s="19">
        <f t="shared" ref="DE5:DE25" si="26">SUM(O5,W5,AE5,AM5,AU5,BC5,BJ5,BS5,CA5,CI5,CQ5,CY5)</f>
        <v>40375.25</v>
      </c>
      <c r="DF5" s="22">
        <f t="shared" ref="DF5:DF74" si="27">DE5/DD5</f>
        <v>0.2274661971830986</v>
      </c>
      <c r="DG5" s="19">
        <f t="shared" ref="DG5:DG25" si="28">SUM(M5,U5,AC5,AK5,AS5,BA5,BI5,BQ5,BY5,CG5,CO5,CW5)</f>
        <v>204000</v>
      </c>
      <c r="DH5" s="19">
        <f t="shared" ref="DH5:DH25" si="29">SUM(Q5,Y5,AG5,AO5,AW5,BE5,BM5,BU5,CC5,CK5,CS5,DA5)</f>
        <v>61183</v>
      </c>
      <c r="DI5" s="26">
        <f t="shared" ref="DI5:DI74" si="30">DH5/DG5</f>
        <v>0.29991666666666666</v>
      </c>
      <c r="DJ5" s="23">
        <f t="shared" ref="DJ5:DJ25" si="31">SUM(R5,Z5,AH5,AP5,AX5,BF5,BN5,BV5,CD5,CL5,CT5,DB5)</f>
        <v>38</v>
      </c>
      <c r="DK5" s="23">
        <f t="shared" ref="DK5:DK25" si="32">SUM(S5,AA5,AI5,AQ5,AY5,BG5,BO5,BW5,CE5,CM5,CU5,DC5)</f>
        <v>47</v>
      </c>
      <c r="DL5" s="23" t="s">
        <v>125</v>
      </c>
      <c r="DM5" s="19">
        <v>500000</v>
      </c>
      <c r="DN5" s="30">
        <v>50000</v>
      </c>
      <c r="DO5" s="30">
        <v>100000</v>
      </c>
      <c r="DP5" s="24">
        <f t="shared" ref="DP5:DP74" si="33">DD5/DM5</f>
        <v>0.35499999999999998</v>
      </c>
      <c r="DQ5" s="31"/>
      <c r="DR5" s="15"/>
    </row>
    <row r="6" spans="1:122">
      <c r="A6" s="3" t="s">
        <v>123</v>
      </c>
      <c r="B6" s="3" t="s">
        <v>126</v>
      </c>
      <c r="C6" s="19">
        <v>43200</v>
      </c>
      <c r="D6" s="19">
        <v>27600</v>
      </c>
      <c r="E6" s="19">
        <v>36800</v>
      </c>
      <c r="F6" s="19">
        <v>40070</v>
      </c>
      <c r="G6" s="19">
        <v>15000</v>
      </c>
      <c r="H6" s="19">
        <v>13200</v>
      </c>
      <c r="I6" s="19">
        <v>33000</v>
      </c>
      <c r="J6" s="19">
        <v>19300</v>
      </c>
      <c r="K6" s="30">
        <f t="shared" si="0"/>
        <v>25733.333333333332</v>
      </c>
      <c r="L6" s="19">
        <v>3000</v>
      </c>
      <c r="M6" s="19">
        <v>3500</v>
      </c>
      <c r="N6" s="22">
        <v>0.45</v>
      </c>
      <c r="O6" s="25">
        <f t="shared" si="1"/>
        <v>1350</v>
      </c>
      <c r="P6" s="22">
        <v>0.55000000000000004</v>
      </c>
      <c r="Q6" s="19">
        <f t="shared" si="2"/>
        <v>1925.0000000000002</v>
      </c>
      <c r="R6" s="20">
        <v>1</v>
      </c>
      <c r="S6" s="20">
        <v>1</v>
      </c>
      <c r="T6" s="19">
        <v>3000</v>
      </c>
      <c r="U6" s="19">
        <v>3500</v>
      </c>
      <c r="V6" s="22">
        <v>0.45</v>
      </c>
      <c r="W6" s="19">
        <f t="shared" si="3"/>
        <v>1350</v>
      </c>
      <c r="X6" s="22">
        <v>0.55000000000000004</v>
      </c>
      <c r="Y6" s="19">
        <f t="shared" si="4"/>
        <v>1925.0000000000002</v>
      </c>
      <c r="Z6" s="21">
        <v>1</v>
      </c>
      <c r="AA6" s="21">
        <v>1</v>
      </c>
      <c r="AB6" s="19">
        <v>3000</v>
      </c>
      <c r="AC6" s="19">
        <v>3500</v>
      </c>
      <c r="AD6" s="22">
        <v>0.45</v>
      </c>
      <c r="AE6" s="19">
        <f t="shared" si="5"/>
        <v>1350</v>
      </c>
      <c r="AF6" s="22">
        <v>0.55000000000000004</v>
      </c>
      <c r="AG6" s="19">
        <f t="shared" si="6"/>
        <v>1925.0000000000002</v>
      </c>
      <c r="AH6" s="21">
        <v>1</v>
      </c>
      <c r="AI6" s="21">
        <v>1</v>
      </c>
      <c r="AJ6" s="19">
        <v>3000</v>
      </c>
      <c r="AK6" s="19">
        <v>3500</v>
      </c>
      <c r="AL6" s="22">
        <v>0.45</v>
      </c>
      <c r="AM6" s="19">
        <f t="shared" si="7"/>
        <v>1350</v>
      </c>
      <c r="AN6" s="22">
        <v>0.55000000000000004</v>
      </c>
      <c r="AO6" s="19">
        <f t="shared" si="8"/>
        <v>1925.0000000000002</v>
      </c>
      <c r="AP6" s="21">
        <v>1</v>
      </c>
      <c r="AQ6" s="21">
        <v>1</v>
      </c>
      <c r="AR6" s="19">
        <v>3000</v>
      </c>
      <c r="AS6" s="19">
        <v>3500</v>
      </c>
      <c r="AT6" s="22">
        <v>0.45</v>
      </c>
      <c r="AU6" s="19">
        <f t="shared" si="9"/>
        <v>1350</v>
      </c>
      <c r="AV6" s="22">
        <v>0.55000000000000004</v>
      </c>
      <c r="AW6" s="19">
        <f t="shared" si="10"/>
        <v>1925.0000000000002</v>
      </c>
      <c r="AX6" s="21">
        <v>1</v>
      </c>
      <c r="AY6" s="21">
        <v>1</v>
      </c>
      <c r="AZ6" s="19">
        <v>3000</v>
      </c>
      <c r="BA6" s="19">
        <v>3500</v>
      </c>
      <c r="BB6" s="22">
        <v>0.45</v>
      </c>
      <c r="BC6" s="19">
        <f t="shared" si="11"/>
        <v>1350</v>
      </c>
      <c r="BD6" s="22">
        <v>0.55000000000000004</v>
      </c>
      <c r="BE6" s="19">
        <f t="shared" si="12"/>
        <v>1925.0000000000002</v>
      </c>
      <c r="BF6" s="21">
        <v>1</v>
      </c>
      <c r="BG6" s="21">
        <v>1</v>
      </c>
      <c r="BH6" s="19">
        <v>3000</v>
      </c>
      <c r="BI6" s="19">
        <v>3500</v>
      </c>
      <c r="BJ6" s="22">
        <v>0.45</v>
      </c>
      <c r="BK6" s="19">
        <f t="shared" si="13"/>
        <v>1350</v>
      </c>
      <c r="BL6" s="22">
        <v>0.55000000000000004</v>
      </c>
      <c r="BM6" s="19">
        <f t="shared" si="14"/>
        <v>1925.0000000000002</v>
      </c>
      <c r="BN6" s="21">
        <v>1</v>
      </c>
      <c r="BO6" s="21">
        <v>1</v>
      </c>
      <c r="BP6" s="19">
        <v>3000</v>
      </c>
      <c r="BQ6" s="19">
        <v>3500</v>
      </c>
      <c r="BR6" s="22">
        <v>0.45</v>
      </c>
      <c r="BS6" s="19">
        <f t="shared" si="15"/>
        <v>1350</v>
      </c>
      <c r="BT6" s="22">
        <v>0.55000000000000004</v>
      </c>
      <c r="BU6" s="19">
        <f t="shared" si="16"/>
        <v>1925.0000000000002</v>
      </c>
      <c r="BV6" s="21">
        <v>1</v>
      </c>
      <c r="BW6" s="21">
        <v>1</v>
      </c>
      <c r="BX6" s="19">
        <v>3000</v>
      </c>
      <c r="BY6" s="19">
        <v>3500</v>
      </c>
      <c r="BZ6" s="22">
        <v>0.45</v>
      </c>
      <c r="CA6" s="19">
        <f t="shared" si="17"/>
        <v>1350</v>
      </c>
      <c r="CB6" s="22">
        <v>0.55000000000000004</v>
      </c>
      <c r="CC6" s="19">
        <f t="shared" si="18"/>
        <v>1925.0000000000002</v>
      </c>
      <c r="CD6" s="21">
        <v>1</v>
      </c>
      <c r="CE6" s="21">
        <v>1</v>
      </c>
      <c r="CF6" s="19">
        <v>3000</v>
      </c>
      <c r="CG6" s="19">
        <v>3500</v>
      </c>
      <c r="CH6" s="22">
        <v>0.45</v>
      </c>
      <c r="CI6" s="19">
        <f t="shared" si="19"/>
        <v>1350</v>
      </c>
      <c r="CJ6" s="22">
        <v>0.55000000000000004</v>
      </c>
      <c r="CK6" s="25">
        <f t="shared" si="20"/>
        <v>1925.0000000000002</v>
      </c>
      <c r="CL6" s="21">
        <v>1</v>
      </c>
      <c r="CM6" s="21">
        <v>1</v>
      </c>
      <c r="CN6" s="19">
        <v>3000</v>
      </c>
      <c r="CO6" s="19">
        <v>3500</v>
      </c>
      <c r="CP6" s="22">
        <v>0.45</v>
      </c>
      <c r="CQ6" s="25">
        <f t="shared" si="21"/>
        <v>1350</v>
      </c>
      <c r="CR6" s="22">
        <v>0.55000000000000004</v>
      </c>
      <c r="CS6" s="25">
        <f t="shared" si="22"/>
        <v>1925.0000000000002</v>
      </c>
      <c r="CT6" s="21">
        <v>1</v>
      </c>
      <c r="CU6" s="21">
        <v>1</v>
      </c>
      <c r="CV6" s="19">
        <v>3000</v>
      </c>
      <c r="CW6" s="19">
        <v>3500</v>
      </c>
      <c r="CX6" s="22">
        <v>0.45</v>
      </c>
      <c r="CY6" s="25">
        <f t="shared" si="23"/>
        <v>1350</v>
      </c>
      <c r="CZ6" s="22">
        <v>0.55000000000000004</v>
      </c>
      <c r="DA6" s="19">
        <f t="shared" si="24"/>
        <v>1925.0000000000002</v>
      </c>
      <c r="DB6" s="21">
        <v>1</v>
      </c>
      <c r="DC6" s="21">
        <v>1</v>
      </c>
      <c r="DD6" s="19">
        <f t="shared" si="25"/>
        <v>36000</v>
      </c>
      <c r="DE6" s="19">
        <f t="shared" si="26"/>
        <v>14850.45</v>
      </c>
      <c r="DF6" s="22">
        <f t="shared" si="27"/>
        <v>0.4125125</v>
      </c>
      <c r="DG6" s="19">
        <f t="shared" si="28"/>
        <v>42000</v>
      </c>
      <c r="DH6" s="19">
        <f t="shared" si="29"/>
        <v>23100.000000000004</v>
      </c>
      <c r="DI6" s="26">
        <f t="shared" si="30"/>
        <v>0.55000000000000004</v>
      </c>
      <c r="DJ6" s="27">
        <f t="shared" si="31"/>
        <v>12</v>
      </c>
      <c r="DK6" s="27">
        <f t="shared" si="32"/>
        <v>12</v>
      </c>
      <c r="DL6" s="23" t="s">
        <v>127</v>
      </c>
      <c r="DM6" s="19">
        <v>60000</v>
      </c>
      <c r="DN6" s="19"/>
      <c r="DO6" s="19"/>
      <c r="DP6" s="24">
        <f t="shared" si="33"/>
        <v>0.6</v>
      </c>
      <c r="DQ6" s="28"/>
    </row>
    <row r="7" spans="1:122">
      <c r="A7" s="3" t="s">
        <v>128</v>
      </c>
      <c r="B7" s="3" t="s">
        <v>129</v>
      </c>
      <c r="C7" s="19"/>
      <c r="D7" s="19"/>
      <c r="E7" s="19"/>
      <c r="F7" s="19"/>
      <c r="G7" s="19"/>
      <c r="H7" s="19"/>
      <c r="I7" s="19"/>
      <c r="J7" s="19"/>
      <c r="K7" s="30">
        <f t="shared" si="0"/>
        <v>0</v>
      </c>
      <c r="L7" s="19"/>
      <c r="M7" s="19"/>
      <c r="N7" s="22"/>
      <c r="O7" s="25">
        <f t="shared" si="1"/>
        <v>0</v>
      </c>
      <c r="P7" s="22"/>
      <c r="Q7" s="19">
        <f t="shared" si="2"/>
        <v>0</v>
      </c>
      <c r="R7" s="20">
        <v>2</v>
      </c>
      <c r="S7" s="20">
        <v>2</v>
      </c>
      <c r="T7" s="19"/>
      <c r="U7" s="19"/>
      <c r="V7" s="22"/>
      <c r="W7" s="19">
        <f t="shared" si="3"/>
        <v>0</v>
      </c>
      <c r="X7" s="22"/>
      <c r="Y7" s="19">
        <f t="shared" si="4"/>
        <v>0</v>
      </c>
      <c r="Z7" s="21">
        <v>2</v>
      </c>
      <c r="AA7" s="21">
        <v>2</v>
      </c>
      <c r="AB7" s="19"/>
      <c r="AC7" s="19"/>
      <c r="AD7" s="22"/>
      <c r="AE7" s="19">
        <f t="shared" si="5"/>
        <v>0</v>
      </c>
      <c r="AF7" s="22"/>
      <c r="AG7" s="19">
        <f t="shared" si="6"/>
        <v>0</v>
      </c>
      <c r="AH7" s="21">
        <v>2</v>
      </c>
      <c r="AI7" s="21">
        <v>2</v>
      </c>
      <c r="AJ7" s="19"/>
      <c r="AK7" s="19"/>
      <c r="AL7" s="22"/>
      <c r="AM7" s="19">
        <f t="shared" si="7"/>
        <v>0</v>
      </c>
      <c r="AN7" s="22"/>
      <c r="AO7" s="19">
        <f t="shared" si="8"/>
        <v>0</v>
      </c>
      <c r="AP7" s="21">
        <v>2</v>
      </c>
      <c r="AQ7" s="21">
        <v>2</v>
      </c>
      <c r="AR7" s="19"/>
      <c r="AS7" s="19"/>
      <c r="AT7" s="22"/>
      <c r="AU7" s="19">
        <f t="shared" si="9"/>
        <v>0</v>
      </c>
      <c r="AV7" s="22"/>
      <c r="AW7" s="19">
        <f t="shared" si="10"/>
        <v>0</v>
      </c>
      <c r="AX7" s="21">
        <v>2</v>
      </c>
      <c r="AY7" s="21">
        <v>2</v>
      </c>
      <c r="AZ7" s="19"/>
      <c r="BA7" s="19"/>
      <c r="BB7" s="22"/>
      <c r="BC7" s="19">
        <f t="shared" si="11"/>
        <v>0</v>
      </c>
      <c r="BD7" s="22"/>
      <c r="BE7" s="19">
        <f t="shared" si="12"/>
        <v>0</v>
      </c>
      <c r="BF7" s="21">
        <v>2</v>
      </c>
      <c r="BG7" s="21">
        <v>2</v>
      </c>
      <c r="BH7" s="19"/>
      <c r="BI7" s="19"/>
      <c r="BJ7" s="22"/>
      <c r="BK7" s="19">
        <f t="shared" si="13"/>
        <v>0</v>
      </c>
      <c r="BL7" s="22"/>
      <c r="BM7" s="19">
        <f t="shared" si="14"/>
        <v>0</v>
      </c>
      <c r="BN7" s="21">
        <v>2</v>
      </c>
      <c r="BO7" s="21">
        <v>2</v>
      </c>
      <c r="BP7" s="19"/>
      <c r="BQ7" s="19"/>
      <c r="BR7" s="22"/>
      <c r="BS7" s="19">
        <f t="shared" si="15"/>
        <v>0</v>
      </c>
      <c r="BT7" s="22"/>
      <c r="BU7" s="19">
        <f t="shared" si="16"/>
        <v>0</v>
      </c>
      <c r="BV7" s="21">
        <v>2</v>
      </c>
      <c r="BW7" s="21">
        <v>2</v>
      </c>
      <c r="BX7" s="19"/>
      <c r="BY7" s="19"/>
      <c r="BZ7" s="22"/>
      <c r="CA7" s="19">
        <f t="shared" si="17"/>
        <v>0</v>
      </c>
      <c r="CB7" s="22"/>
      <c r="CC7" s="19">
        <f t="shared" si="18"/>
        <v>0</v>
      </c>
      <c r="CD7" s="21">
        <v>2</v>
      </c>
      <c r="CE7" s="21">
        <v>2</v>
      </c>
      <c r="CF7" s="19"/>
      <c r="CG7" s="19"/>
      <c r="CH7" s="22"/>
      <c r="CI7" s="19">
        <f t="shared" si="19"/>
        <v>0</v>
      </c>
      <c r="CJ7" s="22"/>
      <c r="CK7" s="25">
        <f t="shared" si="20"/>
        <v>0</v>
      </c>
      <c r="CL7" s="21">
        <v>2</v>
      </c>
      <c r="CM7" s="21">
        <v>2</v>
      </c>
      <c r="CN7" s="19"/>
      <c r="CO7" s="19"/>
      <c r="CP7" s="22"/>
      <c r="CQ7" s="25">
        <f t="shared" si="21"/>
        <v>0</v>
      </c>
      <c r="CR7" s="22"/>
      <c r="CS7" s="25">
        <f t="shared" si="22"/>
        <v>0</v>
      </c>
      <c r="CT7" s="21">
        <v>2</v>
      </c>
      <c r="CU7" s="21">
        <v>2</v>
      </c>
      <c r="CV7" s="19"/>
      <c r="CW7" s="19"/>
      <c r="CX7" s="22"/>
      <c r="CY7" s="25">
        <f t="shared" si="23"/>
        <v>0</v>
      </c>
      <c r="CZ7" s="22"/>
      <c r="DA7" s="19">
        <f t="shared" si="24"/>
        <v>0</v>
      </c>
      <c r="DB7" s="21">
        <v>2</v>
      </c>
      <c r="DC7" s="21">
        <v>2</v>
      </c>
      <c r="DD7" s="19">
        <f t="shared" si="25"/>
        <v>0</v>
      </c>
      <c r="DE7" s="19">
        <f t="shared" si="26"/>
        <v>0</v>
      </c>
      <c r="DF7" s="22" t="e">
        <f t="shared" si="27"/>
        <v>#DIV/0!</v>
      </c>
      <c r="DG7" s="19">
        <f t="shared" si="28"/>
        <v>0</v>
      </c>
      <c r="DH7" s="19">
        <f t="shared" si="29"/>
        <v>0</v>
      </c>
      <c r="DI7" s="26" t="e">
        <f t="shared" si="30"/>
        <v>#DIV/0!</v>
      </c>
      <c r="DJ7" s="27">
        <f t="shared" si="31"/>
        <v>24</v>
      </c>
      <c r="DK7" s="27">
        <f t="shared" si="32"/>
        <v>24</v>
      </c>
      <c r="DL7" s="23" t="s">
        <v>130</v>
      </c>
      <c r="DM7" s="19"/>
      <c r="DN7" s="19"/>
      <c r="DO7" s="19"/>
      <c r="DP7" s="24" t="e">
        <f t="shared" si="33"/>
        <v>#DIV/0!</v>
      </c>
      <c r="DQ7" s="28"/>
    </row>
    <row r="8" spans="1:122">
      <c r="A8" s="3" t="s">
        <v>131</v>
      </c>
      <c r="B8" s="3" t="s">
        <v>132</v>
      </c>
      <c r="C8" s="19">
        <v>2500</v>
      </c>
      <c r="D8" s="19">
        <v>3000</v>
      </c>
      <c r="E8" s="19">
        <v>3300</v>
      </c>
      <c r="F8" s="19">
        <v>7000</v>
      </c>
      <c r="G8" s="19">
        <v>25060</v>
      </c>
      <c r="H8" s="19">
        <v>67800</v>
      </c>
      <c r="I8" s="19">
        <v>72300</v>
      </c>
      <c r="J8" s="19">
        <v>58780</v>
      </c>
      <c r="K8" s="30">
        <f t="shared" si="0"/>
        <v>78373.333333333343</v>
      </c>
      <c r="L8" s="19"/>
      <c r="M8" s="19">
        <v>10000</v>
      </c>
      <c r="N8" s="22"/>
      <c r="O8" s="25">
        <f t="shared" si="1"/>
        <v>0</v>
      </c>
      <c r="P8" s="22"/>
      <c r="Q8" s="19">
        <f t="shared" si="2"/>
        <v>0</v>
      </c>
      <c r="R8" s="20">
        <v>1</v>
      </c>
      <c r="S8" s="20">
        <v>2</v>
      </c>
      <c r="T8" s="19">
        <v>13000</v>
      </c>
      <c r="U8" s="19">
        <v>15000</v>
      </c>
      <c r="V8" s="22">
        <v>0.69499999999999995</v>
      </c>
      <c r="W8" s="19">
        <f t="shared" si="3"/>
        <v>9035</v>
      </c>
      <c r="X8" s="22">
        <v>0.7</v>
      </c>
      <c r="Y8" s="19">
        <f t="shared" si="4"/>
        <v>10500</v>
      </c>
      <c r="Z8" s="21">
        <v>1</v>
      </c>
      <c r="AA8" s="21">
        <v>2</v>
      </c>
      <c r="AB8" s="19">
        <v>13000</v>
      </c>
      <c r="AC8" s="19">
        <v>15000</v>
      </c>
      <c r="AD8" s="22">
        <v>0.69499999999999995</v>
      </c>
      <c r="AE8" s="19">
        <f t="shared" si="5"/>
        <v>9035</v>
      </c>
      <c r="AF8" s="22">
        <v>0.7</v>
      </c>
      <c r="AG8" s="19">
        <f t="shared" si="6"/>
        <v>10500</v>
      </c>
      <c r="AH8" s="21">
        <v>1</v>
      </c>
      <c r="AI8" s="21">
        <v>2</v>
      </c>
      <c r="AJ8" s="19">
        <v>18000</v>
      </c>
      <c r="AK8" s="19">
        <v>20000</v>
      </c>
      <c r="AL8" s="22">
        <v>0.69499999999999995</v>
      </c>
      <c r="AM8" s="19">
        <f t="shared" si="7"/>
        <v>12510</v>
      </c>
      <c r="AN8" s="22">
        <v>0.7</v>
      </c>
      <c r="AO8" s="19">
        <f t="shared" si="8"/>
        <v>14000</v>
      </c>
      <c r="AP8" s="21">
        <v>4</v>
      </c>
      <c r="AQ8" s="21">
        <v>2</v>
      </c>
      <c r="AR8" s="19">
        <v>21000</v>
      </c>
      <c r="AS8" s="19">
        <v>25000</v>
      </c>
      <c r="AT8" s="22">
        <v>0.69499999999999995</v>
      </c>
      <c r="AU8" s="19">
        <f t="shared" si="9"/>
        <v>14594.999999999998</v>
      </c>
      <c r="AV8" s="22">
        <v>0.7</v>
      </c>
      <c r="AW8" s="19">
        <f t="shared" si="10"/>
        <v>17500</v>
      </c>
      <c r="AX8" s="21">
        <v>1</v>
      </c>
      <c r="AY8" s="21">
        <v>2</v>
      </c>
      <c r="AZ8" s="19">
        <v>5000</v>
      </c>
      <c r="BA8" s="19">
        <v>5000</v>
      </c>
      <c r="BB8" s="22">
        <v>0.69499999999999995</v>
      </c>
      <c r="BC8" s="19">
        <f t="shared" si="11"/>
        <v>3474.9999999999995</v>
      </c>
      <c r="BD8" s="22">
        <v>0.7</v>
      </c>
      <c r="BE8" s="19">
        <f t="shared" si="12"/>
        <v>3500</v>
      </c>
      <c r="BF8" s="21">
        <v>1</v>
      </c>
      <c r="BG8" s="21">
        <v>1</v>
      </c>
      <c r="BH8" s="19">
        <v>5000</v>
      </c>
      <c r="BI8" s="19">
        <v>5000</v>
      </c>
      <c r="BJ8" s="22">
        <v>0.69499999999999995</v>
      </c>
      <c r="BK8" s="19">
        <f t="shared" si="13"/>
        <v>3474.9999999999995</v>
      </c>
      <c r="BL8" s="22">
        <v>0.7</v>
      </c>
      <c r="BM8" s="19">
        <f t="shared" si="14"/>
        <v>3500</v>
      </c>
      <c r="BN8" s="21">
        <v>1</v>
      </c>
      <c r="BO8" s="21">
        <v>1</v>
      </c>
      <c r="BP8" s="19">
        <v>8000</v>
      </c>
      <c r="BQ8" s="19">
        <v>9000</v>
      </c>
      <c r="BR8" s="22">
        <v>0.69499999999999995</v>
      </c>
      <c r="BS8" s="19">
        <f t="shared" si="15"/>
        <v>5560</v>
      </c>
      <c r="BT8" s="22">
        <v>0.7</v>
      </c>
      <c r="BU8" s="19">
        <f t="shared" si="16"/>
        <v>6300</v>
      </c>
      <c r="BV8" s="21">
        <v>1</v>
      </c>
      <c r="BW8" s="21">
        <v>1</v>
      </c>
      <c r="BX8" s="19">
        <v>6000</v>
      </c>
      <c r="BY8" s="19">
        <v>7000</v>
      </c>
      <c r="BZ8" s="22">
        <v>0.69499999999999995</v>
      </c>
      <c r="CA8" s="19">
        <f t="shared" si="17"/>
        <v>4170</v>
      </c>
      <c r="CB8" s="22">
        <v>0.7</v>
      </c>
      <c r="CC8" s="19">
        <f t="shared" si="18"/>
        <v>4900</v>
      </c>
      <c r="CD8" s="21">
        <v>1</v>
      </c>
      <c r="CE8" s="21">
        <v>1</v>
      </c>
      <c r="CF8" s="19"/>
      <c r="CG8" s="19"/>
      <c r="CH8" s="22"/>
      <c r="CI8" s="19">
        <f t="shared" si="19"/>
        <v>0</v>
      </c>
      <c r="CJ8" s="22"/>
      <c r="CK8" s="25">
        <f t="shared" si="20"/>
        <v>0</v>
      </c>
      <c r="CL8" s="21">
        <v>1</v>
      </c>
      <c r="CM8" s="21">
        <v>1</v>
      </c>
      <c r="CN8" s="19"/>
      <c r="CO8" s="19"/>
      <c r="CP8" s="22"/>
      <c r="CQ8" s="25">
        <f t="shared" si="21"/>
        <v>0</v>
      </c>
      <c r="CR8" s="22"/>
      <c r="CS8" s="25">
        <f t="shared" si="22"/>
        <v>0</v>
      </c>
      <c r="CT8" s="21">
        <v>1</v>
      </c>
      <c r="CU8" s="21">
        <v>1</v>
      </c>
      <c r="CV8" s="19"/>
      <c r="CW8" s="19"/>
      <c r="CX8" s="22"/>
      <c r="CY8" s="25">
        <f t="shared" si="23"/>
        <v>0</v>
      </c>
      <c r="CZ8" s="22"/>
      <c r="DA8" s="19">
        <f t="shared" si="24"/>
        <v>0</v>
      </c>
      <c r="DB8" s="21">
        <v>1</v>
      </c>
      <c r="DC8" s="21">
        <v>1</v>
      </c>
      <c r="DD8" s="19">
        <f t="shared" si="25"/>
        <v>89000</v>
      </c>
      <c r="DE8" s="19">
        <f t="shared" si="26"/>
        <v>58380.695</v>
      </c>
      <c r="DF8" s="22">
        <f t="shared" si="27"/>
        <v>0.6559628651685393</v>
      </c>
      <c r="DG8" s="19">
        <f t="shared" si="28"/>
        <v>111000</v>
      </c>
      <c r="DH8" s="19">
        <f t="shared" si="29"/>
        <v>70700</v>
      </c>
      <c r="DI8" s="26">
        <f t="shared" si="30"/>
        <v>0.63693693693693698</v>
      </c>
      <c r="DJ8" s="27">
        <f t="shared" si="31"/>
        <v>15</v>
      </c>
      <c r="DK8" s="27">
        <f t="shared" si="32"/>
        <v>17</v>
      </c>
      <c r="DL8" s="23" t="s">
        <v>133</v>
      </c>
      <c r="DM8" s="19">
        <v>200000</v>
      </c>
      <c r="DN8" s="19"/>
      <c r="DO8" s="19">
        <v>50000</v>
      </c>
      <c r="DP8" s="24">
        <f t="shared" si="33"/>
        <v>0.44500000000000001</v>
      </c>
      <c r="DQ8" s="28"/>
    </row>
    <row r="9" spans="1:122">
      <c r="A9" s="3" t="s">
        <v>134</v>
      </c>
      <c r="B9" s="3" t="s">
        <v>135</v>
      </c>
      <c r="C9" s="19"/>
      <c r="D9" s="19"/>
      <c r="E9" s="19"/>
      <c r="F9" s="19"/>
      <c r="G9" s="19"/>
      <c r="H9" s="19"/>
      <c r="I9" s="19"/>
      <c r="J9" s="19"/>
      <c r="K9" s="30">
        <f t="shared" si="0"/>
        <v>0</v>
      </c>
      <c r="L9" s="19"/>
      <c r="M9" s="19"/>
      <c r="N9" s="22"/>
      <c r="O9" s="25">
        <f t="shared" si="1"/>
        <v>0</v>
      </c>
      <c r="P9" s="22"/>
      <c r="Q9" s="19">
        <f t="shared" si="2"/>
        <v>0</v>
      </c>
      <c r="R9" s="20"/>
      <c r="S9" s="20"/>
      <c r="T9" s="19"/>
      <c r="U9" s="19"/>
      <c r="V9" s="22"/>
      <c r="W9" s="19">
        <f t="shared" si="3"/>
        <v>0</v>
      </c>
      <c r="X9" s="22"/>
      <c r="Y9" s="19">
        <f t="shared" si="4"/>
        <v>0</v>
      </c>
      <c r="Z9" s="21"/>
      <c r="AA9" s="21"/>
      <c r="AB9" s="19"/>
      <c r="AC9" s="19"/>
      <c r="AD9" s="22"/>
      <c r="AE9" s="19">
        <f t="shared" si="5"/>
        <v>0</v>
      </c>
      <c r="AF9" s="22"/>
      <c r="AG9" s="19">
        <f t="shared" si="6"/>
        <v>0</v>
      </c>
      <c r="AH9" s="21"/>
      <c r="AI9" s="21"/>
      <c r="AJ9" s="19"/>
      <c r="AK9" s="19"/>
      <c r="AL9" s="22"/>
      <c r="AM9" s="19">
        <f t="shared" si="7"/>
        <v>0</v>
      </c>
      <c r="AN9" s="22"/>
      <c r="AO9" s="19">
        <f t="shared" si="8"/>
        <v>0</v>
      </c>
      <c r="AP9" s="21"/>
      <c r="AQ9" s="21"/>
      <c r="AR9" s="19"/>
      <c r="AS9" s="19"/>
      <c r="AT9" s="22"/>
      <c r="AU9" s="19">
        <f t="shared" si="9"/>
        <v>0</v>
      </c>
      <c r="AV9" s="22"/>
      <c r="AW9" s="19">
        <f t="shared" si="10"/>
        <v>0</v>
      </c>
      <c r="AX9" s="21"/>
      <c r="AY9" s="21"/>
      <c r="AZ9" s="19"/>
      <c r="BA9" s="19"/>
      <c r="BB9" s="22"/>
      <c r="BC9" s="19">
        <f t="shared" si="11"/>
        <v>0</v>
      </c>
      <c r="BD9" s="22"/>
      <c r="BE9" s="19">
        <f t="shared" si="12"/>
        <v>0</v>
      </c>
      <c r="BF9" s="21"/>
      <c r="BG9" s="21"/>
      <c r="BH9" s="19"/>
      <c r="BI9" s="19"/>
      <c r="BJ9" s="22"/>
      <c r="BK9" s="19">
        <f t="shared" si="13"/>
        <v>0</v>
      </c>
      <c r="BL9" s="22"/>
      <c r="BM9" s="19">
        <f t="shared" si="14"/>
        <v>0</v>
      </c>
      <c r="BN9" s="21"/>
      <c r="BO9" s="21"/>
      <c r="BP9" s="19"/>
      <c r="BQ9" s="19"/>
      <c r="BR9" s="22"/>
      <c r="BS9" s="19">
        <f t="shared" si="15"/>
        <v>0</v>
      </c>
      <c r="BT9" s="22"/>
      <c r="BU9" s="19">
        <f t="shared" si="16"/>
        <v>0</v>
      </c>
      <c r="BV9" s="21"/>
      <c r="BW9" s="21"/>
      <c r="BX9" s="19"/>
      <c r="BY9" s="19"/>
      <c r="BZ9" s="22"/>
      <c r="CA9" s="19">
        <f t="shared" si="17"/>
        <v>0</v>
      </c>
      <c r="CB9" s="22"/>
      <c r="CC9" s="19">
        <f t="shared" si="18"/>
        <v>0</v>
      </c>
      <c r="CD9" s="21"/>
      <c r="CE9" s="21"/>
      <c r="CF9" s="19"/>
      <c r="CG9" s="19"/>
      <c r="CH9" s="22"/>
      <c r="CI9" s="19">
        <f t="shared" si="19"/>
        <v>0</v>
      </c>
      <c r="CJ9" s="22"/>
      <c r="CK9" s="25">
        <f t="shared" si="20"/>
        <v>0</v>
      </c>
      <c r="CL9" s="21"/>
      <c r="CM9" s="21"/>
      <c r="CN9" s="19"/>
      <c r="CO9" s="19"/>
      <c r="CP9" s="22"/>
      <c r="CQ9" s="25">
        <f t="shared" si="21"/>
        <v>0</v>
      </c>
      <c r="CR9" s="22"/>
      <c r="CS9" s="25">
        <f t="shared" si="22"/>
        <v>0</v>
      </c>
      <c r="CT9" s="21"/>
      <c r="CU9" s="21"/>
      <c r="CV9" s="19"/>
      <c r="CW9" s="19"/>
      <c r="CX9" s="22"/>
      <c r="CY9" s="25">
        <f t="shared" si="23"/>
        <v>0</v>
      </c>
      <c r="CZ9" s="22"/>
      <c r="DA9" s="19">
        <f t="shared" si="24"/>
        <v>0</v>
      </c>
      <c r="DB9" s="21"/>
      <c r="DC9" s="21"/>
      <c r="DD9" s="19">
        <f t="shared" si="25"/>
        <v>0</v>
      </c>
      <c r="DE9" s="19">
        <f t="shared" si="26"/>
        <v>0</v>
      </c>
      <c r="DF9" s="22" t="e">
        <f t="shared" si="27"/>
        <v>#DIV/0!</v>
      </c>
      <c r="DG9" s="19">
        <f t="shared" si="28"/>
        <v>0</v>
      </c>
      <c r="DH9" s="19">
        <f t="shared" si="29"/>
        <v>0</v>
      </c>
      <c r="DI9" s="26" t="e">
        <f t="shared" si="30"/>
        <v>#DIV/0!</v>
      </c>
      <c r="DJ9" s="27">
        <f t="shared" si="31"/>
        <v>0</v>
      </c>
      <c r="DK9" s="27">
        <f t="shared" si="32"/>
        <v>0</v>
      </c>
      <c r="DL9" s="23" t="s">
        <v>136</v>
      </c>
      <c r="DM9" s="19">
        <v>1000000</v>
      </c>
      <c r="DN9" s="19"/>
      <c r="DO9" s="19">
        <v>1000000</v>
      </c>
      <c r="DP9" s="24">
        <f t="shared" si="33"/>
        <v>0</v>
      </c>
      <c r="DQ9" s="28"/>
    </row>
    <row r="10" spans="1:122">
      <c r="A10" s="3" t="s">
        <v>128</v>
      </c>
      <c r="B10" s="3" t="s">
        <v>137</v>
      </c>
      <c r="C10" s="19"/>
      <c r="D10" s="19"/>
      <c r="E10" s="19"/>
      <c r="F10" s="19"/>
      <c r="G10" s="19"/>
      <c r="H10" s="19"/>
      <c r="I10" s="19"/>
      <c r="J10" s="19"/>
      <c r="K10" s="30">
        <f t="shared" si="0"/>
        <v>0</v>
      </c>
      <c r="L10" s="19"/>
      <c r="M10" s="19"/>
      <c r="N10" s="22"/>
      <c r="O10" s="25">
        <f t="shared" si="1"/>
        <v>0</v>
      </c>
      <c r="P10" s="22"/>
      <c r="Q10" s="19">
        <f t="shared" si="2"/>
        <v>0</v>
      </c>
      <c r="R10" s="20">
        <v>1</v>
      </c>
      <c r="S10" s="20"/>
      <c r="T10" s="19"/>
      <c r="U10" s="19"/>
      <c r="V10" s="22"/>
      <c r="W10" s="19">
        <f t="shared" si="3"/>
        <v>0</v>
      </c>
      <c r="X10" s="22"/>
      <c r="Y10" s="19">
        <f t="shared" si="4"/>
        <v>0</v>
      </c>
      <c r="Z10" s="21">
        <v>1</v>
      </c>
      <c r="AA10" s="21"/>
      <c r="AB10" s="19"/>
      <c r="AC10" s="19"/>
      <c r="AD10" s="22"/>
      <c r="AE10" s="19">
        <f t="shared" si="5"/>
        <v>0</v>
      </c>
      <c r="AF10" s="22"/>
      <c r="AG10" s="19">
        <f t="shared" si="6"/>
        <v>0</v>
      </c>
      <c r="AH10" s="21">
        <v>1</v>
      </c>
      <c r="AI10" s="21"/>
      <c r="AJ10" s="19"/>
      <c r="AK10" s="19"/>
      <c r="AL10" s="22"/>
      <c r="AM10" s="19">
        <f t="shared" si="7"/>
        <v>0</v>
      </c>
      <c r="AN10" s="22"/>
      <c r="AO10" s="19">
        <f t="shared" si="8"/>
        <v>0</v>
      </c>
      <c r="AP10" s="21">
        <v>1</v>
      </c>
      <c r="AQ10" s="21"/>
      <c r="AR10" s="19"/>
      <c r="AS10" s="19"/>
      <c r="AT10" s="22"/>
      <c r="AU10" s="19">
        <f t="shared" si="9"/>
        <v>0</v>
      </c>
      <c r="AV10" s="22"/>
      <c r="AW10" s="19">
        <f t="shared" si="10"/>
        <v>0</v>
      </c>
      <c r="AX10" s="21">
        <v>1</v>
      </c>
      <c r="AY10" s="21"/>
      <c r="AZ10" s="19"/>
      <c r="BA10" s="19"/>
      <c r="BB10" s="22"/>
      <c r="BC10" s="19">
        <f t="shared" si="11"/>
        <v>0</v>
      </c>
      <c r="BD10" s="22"/>
      <c r="BE10" s="19">
        <f t="shared" si="12"/>
        <v>0</v>
      </c>
      <c r="BF10" s="21">
        <v>1</v>
      </c>
      <c r="BG10" s="21"/>
      <c r="BH10" s="19"/>
      <c r="BI10" s="19"/>
      <c r="BJ10" s="22"/>
      <c r="BK10" s="19">
        <f t="shared" si="13"/>
        <v>0</v>
      </c>
      <c r="BL10" s="22"/>
      <c r="BM10" s="19">
        <f t="shared" si="14"/>
        <v>0</v>
      </c>
      <c r="BN10" s="21">
        <v>1</v>
      </c>
      <c r="BO10" s="21"/>
      <c r="BP10" s="19"/>
      <c r="BQ10" s="19"/>
      <c r="BR10" s="22"/>
      <c r="BS10" s="19">
        <f t="shared" si="15"/>
        <v>0</v>
      </c>
      <c r="BT10" s="22"/>
      <c r="BU10" s="19">
        <f t="shared" si="16"/>
        <v>0</v>
      </c>
      <c r="BV10" s="21">
        <v>1</v>
      </c>
      <c r="BW10" s="21"/>
      <c r="BX10" s="19"/>
      <c r="BY10" s="19"/>
      <c r="BZ10" s="22"/>
      <c r="CA10" s="19">
        <f t="shared" si="17"/>
        <v>0</v>
      </c>
      <c r="CB10" s="22"/>
      <c r="CC10" s="19">
        <f t="shared" si="18"/>
        <v>0</v>
      </c>
      <c r="CD10" s="21">
        <v>1</v>
      </c>
      <c r="CE10" s="21"/>
      <c r="CF10" s="19"/>
      <c r="CG10" s="19"/>
      <c r="CH10" s="22"/>
      <c r="CI10" s="19">
        <f t="shared" si="19"/>
        <v>0</v>
      </c>
      <c r="CJ10" s="22"/>
      <c r="CK10" s="25">
        <f t="shared" si="20"/>
        <v>0</v>
      </c>
      <c r="CL10" s="21">
        <v>1</v>
      </c>
      <c r="CM10" s="21"/>
      <c r="CN10" s="19"/>
      <c r="CO10" s="19"/>
      <c r="CP10" s="22"/>
      <c r="CQ10" s="25">
        <f t="shared" si="21"/>
        <v>0</v>
      </c>
      <c r="CR10" s="22"/>
      <c r="CS10" s="25">
        <f t="shared" si="22"/>
        <v>0</v>
      </c>
      <c r="CT10" s="21">
        <v>1</v>
      </c>
      <c r="CU10" s="21"/>
      <c r="CV10" s="19"/>
      <c r="CW10" s="19"/>
      <c r="CX10" s="22"/>
      <c r="CY10" s="25">
        <f t="shared" si="23"/>
        <v>0</v>
      </c>
      <c r="CZ10" s="22"/>
      <c r="DA10" s="19">
        <f t="shared" si="24"/>
        <v>0</v>
      </c>
      <c r="DB10" s="21">
        <v>1</v>
      </c>
      <c r="DC10" s="21"/>
      <c r="DD10" s="19">
        <f t="shared" si="25"/>
        <v>0</v>
      </c>
      <c r="DE10" s="19">
        <f t="shared" si="26"/>
        <v>0</v>
      </c>
      <c r="DF10" s="22" t="e">
        <f t="shared" si="27"/>
        <v>#DIV/0!</v>
      </c>
      <c r="DG10" s="19">
        <f t="shared" si="28"/>
        <v>0</v>
      </c>
      <c r="DH10" s="19">
        <f t="shared" si="29"/>
        <v>0</v>
      </c>
      <c r="DI10" s="26" t="e">
        <f t="shared" si="30"/>
        <v>#DIV/0!</v>
      </c>
      <c r="DJ10" s="27">
        <f t="shared" si="31"/>
        <v>12</v>
      </c>
      <c r="DK10" s="27">
        <f t="shared" si="32"/>
        <v>0</v>
      </c>
      <c r="DL10" s="23" t="s">
        <v>136</v>
      </c>
      <c r="DM10" s="19">
        <v>1000000</v>
      </c>
      <c r="DN10" s="19"/>
      <c r="DO10" s="19">
        <v>1000000</v>
      </c>
      <c r="DP10" s="24">
        <f t="shared" si="33"/>
        <v>0</v>
      </c>
      <c r="DQ10" s="28"/>
    </row>
    <row r="11" spans="1:122">
      <c r="A11" s="3" t="s">
        <v>123</v>
      </c>
      <c r="B11" s="3" t="s">
        <v>138</v>
      </c>
      <c r="C11" s="19">
        <v>430000</v>
      </c>
      <c r="D11" s="19">
        <v>480000</v>
      </c>
      <c r="E11" s="19">
        <v>510000</v>
      </c>
      <c r="F11" s="19">
        <v>550000</v>
      </c>
      <c r="G11" s="19">
        <v>200000</v>
      </c>
      <c r="H11" s="19">
        <v>180000</v>
      </c>
      <c r="I11" s="19">
        <v>431000</v>
      </c>
      <c r="J11" s="19">
        <v>389600</v>
      </c>
      <c r="K11" s="30">
        <f t="shared" si="0"/>
        <v>519466.66666666669</v>
      </c>
      <c r="L11" s="19">
        <v>150000</v>
      </c>
      <c r="M11" s="19">
        <v>150000</v>
      </c>
      <c r="N11" s="22">
        <v>0.1</v>
      </c>
      <c r="O11" s="25">
        <f t="shared" si="1"/>
        <v>15000</v>
      </c>
      <c r="P11" s="22">
        <v>0.1</v>
      </c>
      <c r="Q11" s="19">
        <f t="shared" si="2"/>
        <v>15000</v>
      </c>
      <c r="R11" s="20">
        <v>4</v>
      </c>
      <c r="S11" s="20">
        <v>4</v>
      </c>
      <c r="T11" s="19"/>
      <c r="U11" s="19"/>
      <c r="V11" s="22"/>
      <c r="W11" s="19">
        <f t="shared" si="3"/>
        <v>0</v>
      </c>
      <c r="X11" s="22"/>
      <c r="Y11" s="19">
        <f t="shared" si="4"/>
        <v>0</v>
      </c>
      <c r="Z11" s="21">
        <v>4</v>
      </c>
      <c r="AA11" s="21">
        <v>4</v>
      </c>
      <c r="AB11" s="19"/>
      <c r="AC11" s="19"/>
      <c r="AD11" s="22"/>
      <c r="AE11" s="19">
        <f t="shared" si="5"/>
        <v>0</v>
      </c>
      <c r="AF11" s="22"/>
      <c r="AG11" s="19">
        <f t="shared" si="6"/>
        <v>0</v>
      </c>
      <c r="AH11" s="21">
        <v>4</v>
      </c>
      <c r="AI11" s="21">
        <v>4</v>
      </c>
      <c r="AJ11" s="19">
        <v>150000</v>
      </c>
      <c r="AK11" s="19">
        <v>150000</v>
      </c>
      <c r="AL11" s="22">
        <v>0.1</v>
      </c>
      <c r="AM11" s="19">
        <f t="shared" si="7"/>
        <v>15000</v>
      </c>
      <c r="AN11" s="22">
        <v>0.1</v>
      </c>
      <c r="AO11" s="19">
        <f t="shared" si="8"/>
        <v>15000</v>
      </c>
      <c r="AP11" s="21">
        <v>4</v>
      </c>
      <c r="AQ11" s="21">
        <v>4</v>
      </c>
      <c r="AR11" s="19"/>
      <c r="AS11" s="19"/>
      <c r="AT11" s="22"/>
      <c r="AU11" s="19">
        <f t="shared" si="9"/>
        <v>0</v>
      </c>
      <c r="AV11" s="22"/>
      <c r="AW11" s="19">
        <f t="shared" si="10"/>
        <v>0</v>
      </c>
      <c r="AX11" s="21">
        <v>4</v>
      </c>
      <c r="AY11" s="21">
        <v>4</v>
      </c>
      <c r="AZ11" s="19"/>
      <c r="BA11" s="19"/>
      <c r="BB11" s="22"/>
      <c r="BC11" s="19">
        <f t="shared" si="11"/>
        <v>0</v>
      </c>
      <c r="BD11" s="22"/>
      <c r="BE11" s="19">
        <f t="shared" si="12"/>
        <v>0</v>
      </c>
      <c r="BF11" s="21">
        <v>4</v>
      </c>
      <c r="BG11" s="21">
        <v>4</v>
      </c>
      <c r="BH11" s="19">
        <v>150000</v>
      </c>
      <c r="BI11" s="19">
        <v>150000</v>
      </c>
      <c r="BJ11" s="22">
        <v>0.1</v>
      </c>
      <c r="BK11" s="19">
        <f t="shared" si="13"/>
        <v>15000</v>
      </c>
      <c r="BL11" s="22">
        <v>0.1</v>
      </c>
      <c r="BM11" s="19">
        <f t="shared" si="14"/>
        <v>15000</v>
      </c>
      <c r="BN11" s="21">
        <v>4</v>
      </c>
      <c r="BO11" s="21">
        <v>4</v>
      </c>
      <c r="BP11" s="19"/>
      <c r="BQ11" s="19"/>
      <c r="BR11" s="22"/>
      <c r="BS11" s="19">
        <f t="shared" si="15"/>
        <v>0</v>
      </c>
      <c r="BT11" s="22"/>
      <c r="BU11" s="19">
        <f t="shared" si="16"/>
        <v>0</v>
      </c>
      <c r="BV11" s="21">
        <v>4</v>
      </c>
      <c r="BW11" s="21">
        <v>4</v>
      </c>
      <c r="BX11" s="19"/>
      <c r="BY11" s="19"/>
      <c r="BZ11" s="22"/>
      <c r="CA11" s="19">
        <f t="shared" si="17"/>
        <v>0</v>
      </c>
      <c r="CB11" s="22">
        <v>0.1</v>
      </c>
      <c r="CC11" s="19">
        <f t="shared" si="18"/>
        <v>0</v>
      </c>
      <c r="CD11" s="21">
        <v>4</v>
      </c>
      <c r="CE11" s="21">
        <v>4</v>
      </c>
      <c r="CF11" s="19">
        <v>150000</v>
      </c>
      <c r="CG11" s="19">
        <v>150000</v>
      </c>
      <c r="CH11" s="22">
        <v>0.1</v>
      </c>
      <c r="CI11" s="19">
        <f t="shared" si="19"/>
        <v>15000</v>
      </c>
      <c r="CJ11" s="22">
        <v>0.1</v>
      </c>
      <c r="CK11" s="25">
        <f t="shared" si="20"/>
        <v>15000</v>
      </c>
      <c r="CL11" s="21">
        <v>4</v>
      </c>
      <c r="CM11" s="21">
        <v>4</v>
      </c>
      <c r="CN11" s="19"/>
      <c r="CO11" s="19"/>
      <c r="CP11" s="22"/>
      <c r="CQ11" s="25">
        <f t="shared" si="21"/>
        <v>0</v>
      </c>
      <c r="CR11" s="22"/>
      <c r="CS11" s="25">
        <f t="shared" si="22"/>
        <v>0</v>
      </c>
      <c r="CT11" s="21">
        <v>4</v>
      </c>
      <c r="CU11" s="21">
        <v>4</v>
      </c>
      <c r="CV11" s="19"/>
      <c r="CW11" s="19"/>
      <c r="CX11" s="22"/>
      <c r="CY11" s="25">
        <f t="shared" si="23"/>
        <v>0</v>
      </c>
      <c r="CZ11" s="22"/>
      <c r="DA11" s="19">
        <f t="shared" si="24"/>
        <v>0</v>
      </c>
      <c r="DB11" s="21">
        <v>4</v>
      </c>
      <c r="DC11" s="21">
        <v>4</v>
      </c>
      <c r="DD11" s="19">
        <f t="shared" si="25"/>
        <v>600000</v>
      </c>
      <c r="DE11" s="19">
        <f t="shared" si="26"/>
        <v>45000.1</v>
      </c>
      <c r="DF11" s="22">
        <f t="shared" si="27"/>
        <v>7.5000166666666659E-2</v>
      </c>
      <c r="DG11" s="19">
        <f t="shared" si="28"/>
        <v>600000</v>
      </c>
      <c r="DH11" s="19">
        <f t="shared" si="29"/>
        <v>60000</v>
      </c>
      <c r="DI11" s="26">
        <f t="shared" si="30"/>
        <v>0.1</v>
      </c>
      <c r="DJ11" s="27">
        <f t="shared" si="31"/>
        <v>48</v>
      </c>
      <c r="DK11" s="27">
        <f t="shared" si="32"/>
        <v>48</v>
      </c>
      <c r="DL11" s="23" t="s">
        <v>139</v>
      </c>
      <c r="DM11" s="19">
        <v>600000</v>
      </c>
      <c r="DN11" s="19"/>
      <c r="DO11" s="19"/>
      <c r="DP11" s="24">
        <f t="shared" si="33"/>
        <v>1</v>
      </c>
      <c r="DQ11" s="28"/>
    </row>
    <row r="12" spans="1:122">
      <c r="A12" s="3" t="s">
        <v>140</v>
      </c>
      <c r="B12" s="3" t="s">
        <v>141</v>
      </c>
      <c r="C12" s="19">
        <v>64700</v>
      </c>
      <c r="D12" s="19">
        <v>98430</v>
      </c>
      <c r="E12" s="19">
        <v>101304</v>
      </c>
      <c r="F12" s="19">
        <v>167100</v>
      </c>
      <c r="G12" s="19">
        <v>180200</v>
      </c>
      <c r="H12" s="19">
        <v>205010</v>
      </c>
      <c r="I12" s="19">
        <v>215000</v>
      </c>
      <c r="J12" s="19">
        <v>154300</v>
      </c>
      <c r="K12" s="30">
        <f t="shared" si="0"/>
        <v>205733.33333333334</v>
      </c>
      <c r="L12" s="19">
        <v>18100</v>
      </c>
      <c r="M12" s="19">
        <v>18100</v>
      </c>
      <c r="N12" s="22">
        <v>0.64</v>
      </c>
      <c r="O12" s="25">
        <f t="shared" si="1"/>
        <v>11584</v>
      </c>
      <c r="P12" s="22">
        <v>0.7</v>
      </c>
      <c r="Q12" s="19">
        <f t="shared" si="2"/>
        <v>12670</v>
      </c>
      <c r="R12" s="20">
        <v>1</v>
      </c>
      <c r="S12" s="20">
        <v>1</v>
      </c>
      <c r="T12" s="19">
        <v>25000</v>
      </c>
      <c r="U12" s="19">
        <v>25000</v>
      </c>
      <c r="V12" s="22">
        <v>0.64</v>
      </c>
      <c r="W12" s="19">
        <f t="shared" si="3"/>
        <v>16000</v>
      </c>
      <c r="X12" s="22">
        <v>0.7</v>
      </c>
      <c r="Y12" s="19">
        <f t="shared" si="4"/>
        <v>17500</v>
      </c>
      <c r="Z12" s="21">
        <v>1</v>
      </c>
      <c r="AA12" s="21">
        <v>1</v>
      </c>
      <c r="AB12" s="19">
        <v>30000</v>
      </c>
      <c r="AC12" s="19">
        <v>30000</v>
      </c>
      <c r="AD12" s="22">
        <v>0.64</v>
      </c>
      <c r="AE12" s="19">
        <f t="shared" si="5"/>
        <v>19200</v>
      </c>
      <c r="AF12" s="22">
        <v>0.7</v>
      </c>
      <c r="AG12" s="19">
        <f t="shared" si="6"/>
        <v>21000</v>
      </c>
      <c r="AH12" s="21">
        <v>1</v>
      </c>
      <c r="AI12" s="21">
        <v>1</v>
      </c>
      <c r="AJ12" s="19">
        <v>30000</v>
      </c>
      <c r="AK12" s="19">
        <v>30000</v>
      </c>
      <c r="AL12" s="22">
        <v>0.64</v>
      </c>
      <c r="AM12" s="19">
        <f t="shared" si="7"/>
        <v>19200</v>
      </c>
      <c r="AN12" s="22">
        <v>0.7</v>
      </c>
      <c r="AO12" s="19">
        <f t="shared" si="8"/>
        <v>21000</v>
      </c>
      <c r="AP12" s="21">
        <v>1</v>
      </c>
      <c r="AQ12" s="21">
        <v>1</v>
      </c>
      <c r="AR12" s="19">
        <v>30000</v>
      </c>
      <c r="AS12" s="19">
        <v>30000</v>
      </c>
      <c r="AT12" s="22">
        <v>0.64</v>
      </c>
      <c r="AU12" s="19">
        <f t="shared" si="9"/>
        <v>19200</v>
      </c>
      <c r="AV12" s="22">
        <v>0.7</v>
      </c>
      <c r="AW12" s="19">
        <f t="shared" si="10"/>
        <v>21000</v>
      </c>
      <c r="AX12" s="21">
        <v>1</v>
      </c>
      <c r="AY12" s="21">
        <v>1</v>
      </c>
      <c r="AZ12" s="19">
        <v>30000</v>
      </c>
      <c r="BA12" s="19">
        <v>30000</v>
      </c>
      <c r="BB12" s="22">
        <v>0.64</v>
      </c>
      <c r="BC12" s="19">
        <f t="shared" si="11"/>
        <v>19200</v>
      </c>
      <c r="BD12" s="22">
        <v>0.7</v>
      </c>
      <c r="BE12" s="19">
        <f t="shared" si="12"/>
        <v>21000</v>
      </c>
      <c r="BF12" s="21">
        <v>1</v>
      </c>
      <c r="BG12" s="21">
        <v>1</v>
      </c>
      <c r="BH12" s="19">
        <v>65000</v>
      </c>
      <c r="BI12" s="19">
        <v>70000</v>
      </c>
      <c r="BJ12" s="22">
        <v>0.64</v>
      </c>
      <c r="BK12" s="19">
        <f t="shared" si="13"/>
        <v>41600</v>
      </c>
      <c r="BL12" s="22">
        <v>0.7</v>
      </c>
      <c r="BM12" s="19">
        <f t="shared" si="14"/>
        <v>49000</v>
      </c>
      <c r="BN12" s="21">
        <v>1</v>
      </c>
      <c r="BO12" s="21">
        <v>1</v>
      </c>
      <c r="BP12" s="19">
        <v>65000</v>
      </c>
      <c r="BQ12" s="19">
        <v>70000</v>
      </c>
      <c r="BR12" s="22">
        <v>0.64</v>
      </c>
      <c r="BS12" s="19">
        <f t="shared" si="15"/>
        <v>41600</v>
      </c>
      <c r="BT12" s="22">
        <v>0.7</v>
      </c>
      <c r="BU12" s="19">
        <f t="shared" si="16"/>
        <v>49000</v>
      </c>
      <c r="BV12" s="21">
        <v>1</v>
      </c>
      <c r="BW12" s="21">
        <v>1</v>
      </c>
      <c r="BX12" s="19">
        <v>65000</v>
      </c>
      <c r="BY12" s="19">
        <v>70000</v>
      </c>
      <c r="BZ12" s="22">
        <v>0.64</v>
      </c>
      <c r="CA12" s="19">
        <f t="shared" si="17"/>
        <v>41600</v>
      </c>
      <c r="CB12" s="22">
        <v>0.7</v>
      </c>
      <c r="CC12" s="19">
        <f t="shared" si="18"/>
        <v>49000</v>
      </c>
      <c r="CD12" s="21">
        <v>1</v>
      </c>
      <c r="CE12" s="21">
        <v>1</v>
      </c>
      <c r="CF12" s="19">
        <v>65000</v>
      </c>
      <c r="CG12" s="19">
        <v>70000</v>
      </c>
      <c r="CH12" s="22">
        <v>0.64</v>
      </c>
      <c r="CI12" s="19">
        <f t="shared" si="19"/>
        <v>41600</v>
      </c>
      <c r="CJ12" s="22">
        <v>0.7</v>
      </c>
      <c r="CK12" s="25">
        <f t="shared" si="20"/>
        <v>49000</v>
      </c>
      <c r="CL12" s="21">
        <v>1</v>
      </c>
      <c r="CM12" s="21">
        <v>1</v>
      </c>
      <c r="CN12" s="19">
        <v>65000</v>
      </c>
      <c r="CO12" s="19">
        <v>70000</v>
      </c>
      <c r="CP12" s="22">
        <v>0.64</v>
      </c>
      <c r="CQ12" s="25">
        <f t="shared" si="21"/>
        <v>41600</v>
      </c>
      <c r="CR12" s="22">
        <v>0.7</v>
      </c>
      <c r="CS12" s="25">
        <f t="shared" si="22"/>
        <v>49000</v>
      </c>
      <c r="CT12" s="21">
        <v>1</v>
      </c>
      <c r="CU12" s="21">
        <v>1</v>
      </c>
      <c r="CV12" s="19">
        <v>65000</v>
      </c>
      <c r="CW12" s="19">
        <v>70000</v>
      </c>
      <c r="CX12" s="22">
        <v>0.64</v>
      </c>
      <c r="CY12" s="25">
        <f t="shared" si="23"/>
        <v>41600</v>
      </c>
      <c r="CZ12" s="22">
        <v>0.7</v>
      </c>
      <c r="DA12" s="19">
        <f t="shared" si="24"/>
        <v>49000</v>
      </c>
      <c r="DB12" s="21">
        <v>1</v>
      </c>
      <c r="DC12" s="21">
        <v>1</v>
      </c>
      <c r="DD12" s="19">
        <f t="shared" si="25"/>
        <v>553100</v>
      </c>
      <c r="DE12" s="19">
        <f t="shared" si="26"/>
        <v>312384.64000000001</v>
      </c>
      <c r="DF12" s="22">
        <f t="shared" si="27"/>
        <v>0.56478871813415299</v>
      </c>
      <c r="DG12" s="19">
        <f t="shared" si="28"/>
        <v>583100</v>
      </c>
      <c r="DH12" s="19">
        <f t="shared" si="29"/>
        <v>408170</v>
      </c>
      <c r="DI12" s="26">
        <f t="shared" si="30"/>
        <v>0.7</v>
      </c>
      <c r="DJ12" s="27">
        <f t="shared" si="31"/>
        <v>12</v>
      </c>
      <c r="DK12" s="27">
        <f t="shared" si="32"/>
        <v>12</v>
      </c>
      <c r="DL12" s="23" t="s">
        <v>142</v>
      </c>
      <c r="DM12" s="19">
        <v>750000</v>
      </c>
      <c r="DN12" s="19"/>
      <c r="DO12" s="19">
        <v>100000</v>
      </c>
      <c r="DP12" s="24">
        <f t="shared" si="33"/>
        <v>0.73746666666666671</v>
      </c>
      <c r="DQ12" s="28"/>
    </row>
    <row r="13" spans="1:122">
      <c r="A13" s="3" t="s">
        <v>134</v>
      </c>
      <c r="B13" s="3" t="s">
        <v>143</v>
      </c>
      <c r="C13" s="19">
        <v>287900</v>
      </c>
      <c r="D13" s="19">
        <v>366666</v>
      </c>
      <c r="E13" s="19">
        <v>403210</v>
      </c>
      <c r="F13" s="19">
        <v>464789</v>
      </c>
      <c r="G13" s="19">
        <v>272000</v>
      </c>
      <c r="H13" s="19">
        <v>185000</v>
      </c>
      <c r="I13" s="19">
        <v>266700</v>
      </c>
      <c r="J13" s="19">
        <v>199800</v>
      </c>
      <c r="K13" s="30">
        <f t="shared" si="0"/>
        <v>266400</v>
      </c>
      <c r="L13" s="19">
        <v>33333</v>
      </c>
      <c r="M13" s="19">
        <v>33333</v>
      </c>
      <c r="N13" s="22">
        <v>0.1</v>
      </c>
      <c r="O13" s="25">
        <f t="shared" si="1"/>
        <v>3333.3</v>
      </c>
      <c r="P13" s="22">
        <v>0.1</v>
      </c>
      <c r="Q13" s="19">
        <f t="shared" si="2"/>
        <v>3333.3</v>
      </c>
      <c r="R13" s="20">
        <v>4</v>
      </c>
      <c r="S13" s="20">
        <v>4</v>
      </c>
      <c r="T13" s="19">
        <v>33333</v>
      </c>
      <c r="U13" s="19">
        <v>33333</v>
      </c>
      <c r="V13" s="22">
        <v>0.1</v>
      </c>
      <c r="W13" s="19">
        <f t="shared" si="3"/>
        <v>3333.3</v>
      </c>
      <c r="X13" s="22">
        <v>0.1</v>
      </c>
      <c r="Y13" s="19">
        <f t="shared" si="4"/>
        <v>3333.3</v>
      </c>
      <c r="Z13" s="21">
        <v>4</v>
      </c>
      <c r="AA13" s="21">
        <v>4</v>
      </c>
      <c r="AB13" s="19">
        <v>33333</v>
      </c>
      <c r="AC13" s="19">
        <v>33333</v>
      </c>
      <c r="AD13" s="22">
        <v>0.1</v>
      </c>
      <c r="AE13" s="19">
        <f t="shared" si="5"/>
        <v>3333.3</v>
      </c>
      <c r="AF13" s="22">
        <v>0.1</v>
      </c>
      <c r="AG13" s="19">
        <f t="shared" si="6"/>
        <v>3333.3</v>
      </c>
      <c r="AH13" s="21">
        <v>4</v>
      </c>
      <c r="AI13" s="21">
        <v>4</v>
      </c>
      <c r="AJ13" s="19">
        <v>33333</v>
      </c>
      <c r="AK13" s="19">
        <v>33333</v>
      </c>
      <c r="AL13" s="22">
        <v>0.1</v>
      </c>
      <c r="AM13" s="19">
        <f t="shared" si="7"/>
        <v>3333.3</v>
      </c>
      <c r="AN13" s="22">
        <v>0.1</v>
      </c>
      <c r="AO13" s="19">
        <f t="shared" si="8"/>
        <v>3333.3</v>
      </c>
      <c r="AP13" s="21">
        <v>4</v>
      </c>
      <c r="AQ13" s="21">
        <v>4</v>
      </c>
      <c r="AR13" s="19">
        <v>33333</v>
      </c>
      <c r="AS13" s="19">
        <v>33333</v>
      </c>
      <c r="AT13" s="22">
        <v>0.1</v>
      </c>
      <c r="AU13" s="19">
        <f t="shared" si="9"/>
        <v>3333.3</v>
      </c>
      <c r="AV13" s="22">
        <v>0.1</v>
      </c>
      <c r="AW13" s="19">
        <f t="shared" si="10"/>
        <v>3333.3</v>
      </c>
      <c r="AX13" s="21">
        <v>4</v>
      </c>
      <c r="AY13" s="21">
        <v>4</v>
      </c>
      <c r="AZ13" s="19">
        <v>33333</v>
      </c>
      <c r="BA13" s="19">
        <v>33333</v>
      </c>
      <c r="BB13" s="22">
        <v>0.1</v>
      </c>
      <c r="BC13" s="19">
        <f t="shared" si="11"/>
        <v>3333.3</v>
      </c>
      <c r="BD13" s="22">
        <v>0.1</v>
      </c>
      <c r="BE13" s="19">
        <f t="shared" si="12"/>
        <v>3333.3</v>
      </c>
      <c r="BF13" s="21">
        <v>4</v>
      </c>
      <c r="BG13" s="21">
        <v>4</v>
      </c>
      <c r="BH13" s="19">
        <v>33333</v>
      </c>
      <c r="BI13" s="19">
        <v>33333</v>
      </c>
      <c r="BJ13" s="22">
        <v>0.1</v>
      </c>
      <c r="BK13" s="19">
        <f t="shared" si="13"/>
        <v>3333.3</v>
      </c>
      <c r="BL13" s="22">
        <v>0.1</v>
      </c>
      <c r="BM13" s="19">
        <f t="shared" si="14"/>
        <v>3333.3</v>
      </c>
      <c r="BN13" s="21">
        <v>4</v>
      </c>
      <c r="BO13" s="21">
        <v>4</v>
      </c>
      <c r="BP13" s="19">
        <v>33333</v>
      </c>
      <c r="BQ13" s="19">
        <v>33333</v>
      </c>
      <c r="BR13" s="22">
        <v>0.1</v>
      </c>
      <c r="BS13" s="19">
        <f t="shared" si="15"/>
        <v>3333.3</v>
      </c>
      <c r="BT13" s="22">
        <v>0.1</v>
      </c>
      <c r="BU13" s="19">
        <f t="shared" si="16"/>
        <v>3333.3</v>
      </c>
      <c r="BV13" s="21">
        <v>4</v>
      </c>
      <c r="BW13" s="21">
        <v>4</v>
      </c>
      <c r="BX13" s="19">
        <v>33333</v>
      </c>
      <c r="BY13" s="19">
        <v>33333</v>
      </c>
      <c r="BZ13" s="22">
        <v>0.1</v>
      </c>
      <c r="CA13" s="19">
        <f t="shared" si="17"/>
        <v>3333.3</v>
      </c>
      <c r="CB13" s="22">
        <v>0.1</v>
      </c>
      <c r="CC13" s="19">
        <f t="shared" si="18"/>
        <v>3333.3</v>
      </c>
      <c r="CD13" s="21">
        <v>4</v>
      </c>
      <c r="CE13" s="21">
        <v>4</v>
      </c>
      <c r="CF13" s="19">
        <v>33333</v>
      </c>
      <c r="CG13" s="19">
        <v>33333</v>
      </c>
      <c r="CH13" s="22">
        <v>0.1</v>
      </c>
      <c r="CI13" s="19">
        <f t="shared" si="19"/>
        <v>3333.3</v>
      </c>
      <c r="CJ13" s="22">
        <v>0.1</v>
      </c>
      <c r="CK13" s="25">
        <f t="shared" si="20"/>
        <v>3333.3</v>
      </c>
      <c r="CL13" s="21">
        <v>4</v>
      </c>
      <c r="CM13" s="21">
        <v>4</v>
      </c>
      <c r="CN13" s="19">
        <v>33333</v>
      </c>
      <c r="CO13" s="19">
        <v>33333</v>
      </c>
      <c r="CP13" s="22">
        <v>0.1</v>
      </c>
      <c r="CQ13" s="25">
        <f t="shared" si="21"/>
        <v>3333.3</v>
      </c>
      <c r="CR13" s="22">
        <v>0.1</v>
      </c>
      <c r="CS13" s="25">
        <f t="shared" si="22"/>
        <v>3333.3</v>
      </c>
      <c r="CT13" s="21">
        <v>4</v>
      </c>
      <c r="CU13" s="21">
        <v>4</v>
      </c>
      <c r="CV13" s="19">
        <v>33337</v>
      </c>
      <c r="CW13" s="19">
        <v>33337</v>
      </c>
      <c r="CX13" s="22">
        <v>0.1</v>
      </c>
      <c r="CY13" s="25">
        <f t="shared" si="23"/>
        <v>3333.7000000000003</v>
      </c>
      <c r="CZ13" s="22">
        <v>0.2</v>
      </c>
      <c r="DA13" s="19">
        <f t="shared" si="24"/>
        <v>6667.4000000000005</v>
      </c>
      <c r="DB13" s="21">
        <v>4</v>
      </c>
      <c r="DC13" s="21">
        <v>4</v>
      </c>
      <c r="DD13" s="19">
        <f t="shared" si="25"/>
        <v>400000</v>
      </c>
      <c r="DE13" s="19">
        <f t="shared" si="26"/>
        <v>36666.799999999996</v>
      </c>
      <c r="DF13" s="22">
        <f t="shared" si="27"/>
        <v>9.1666999999999985E-2</v>
      </c>
      <c r="DG13" s="19">
        <f t="shared" si="28"/>
        <v>400000</v>
      </c>
      <c r="DH13" s="19">
        <f t="shared" si="29"/>
        <v>43333.700000000004</v>
      </c>
      <c r="DI13" s="26">
        <f t="shared" si="30"/>
        <v>0.10833425000000001</v>
      </c>
      <c r="DJ13" s="27">
        <f t="shared" si="31"/>
        <v>48</v>
      </c>
      <c r="DK13" s="27">
        <f t="shared" si="32"/>
        <v>48</v>
      </c>
      <c r="DL13" s="23" t="s">
        <v>139</v>
      </c>
      <c r="DM13" s="19">
        <v>400000</v>
      </c>
      <c r="DN13" s="19"/>
      <c r="DO13" s="19"/>
      <c r="DP13" s="24">
        <f t="shared" si="33"/>
        <v>1</v>
      </c>
      <c r="DQ13" s="28"/>
    </row>
    <row r="14" spans="1:122">
      <c r="A14" s="3" t="s">
        <v>128</v>
      </c>
      <c r="B14" s="3" t="s">
        <v>144</v>
      </c>
      <c r="C14" s="19"/>
      <c r="D14" s="19"/>
      <c r="E14" s="19"/>
      <c r="F14" s="19"/>
      <c r="G14" s="19"/>
      <c r="H14" s="19"/>
      <c r="I14" s="19"/>
      <c r="J14" s="19"/>
      <c r="K14" s="30">
        <f t="shared" si="0"/>
        <v>0</v>
      </c>
      <c r="L14" s="19"/>
      <c r="M14" s="19"/>
      <c r="N14" s="22"/>
      <c r="O14" s="25">
        <f t="shared" si="1"/>
        <v>0</v>
      </c>
      <c r="P14" s="22"/>
      <c r="Q14" s="19">
        <f t="shared" si="2"/>
        <v>0</v>
      </c>
      <c r="R14" s="20">
        <v>1</v>
      </c>
      <c r="S14" s="20">
        <v>1</v>
      </c>
      <c r="T14" s="19"/>
      <c r="U14" s="19"/>
      <c r="V14" s="22"/>
      <c r="W14" s="19">
        <f t="shared" si="3"/>
        <v>0</v>
      </c>
      <c r="X14" s="22"/>
      <c r="Y14" s="19">
        <f t="shared" si="4"/>
        <v>0</v>
      </c>
      <c r="Z14" s="21">
        <v>1</v>
      </c>
      <c r="AA14" s="21">
        <v>1</v>
      </c>
      <c r="AB14" s="19"/>
      <c r="AC14" s="19"/>
      <c r="AD14" s="22"/>
      <c r="AE14" s="19">
        <f t="shared" si="5"/>
        <v>0</v>
      </c>
      <c r="AF14" s="22"/>
      <c r="AG14" s="19">
        <f t="shared" si="6"/>
        <v>0</v>
      </c>
      <c r="AH14" s="21">
        <v>1</v>
      </c>
      <c r="AI14" s="21">
        <v>1</v>
      </c>
      <c r="AJ14" s="19"/>
      <c r="AK14" s="19"/>
      <c r="AL14" s="22"/>
      <c r="AM14" s="19">
        <f t="shared" si="7"/>
        <v>0</v>
      </c>
      <c r="AN14" s="22"/>
      <c r="AO14" s="19">
        <f t="shared" si="8"/>
        <v>0</v>
      </c>
      <c r="AP14" s="21">
        <v>1</v>
      </c>
      <c r="AQ14" s="21">
        <v>1</v>
      </c>
      <c r="AR14" s="19"/>
      <c r="AS14" s="19"/>
      <c r="AT14" s="22"/>
      <c r="AU14" s="19">
        <f t="shared" si="9"/>
        <v>0</v>
      </c>
      <c r="AV14" s="22"/>
      <c r="AW14" s="19">
        <f t="shared" si="10"/>
        <v>0</v>
      </c>
      <c r="AX14" s="21">
        <v>1</v>
      </c>
      <c r="AY14" s="21">
        <v>1</v>
      </c>
      <c r="AZ14" s="19"/>
      <c r="BA14" s="19"/>
      <c r="BB14" s="22"/>
      <c r="BC14" s="19">
        <f t="shared" si="11"/>
        <v>0</v>
      </c>
      <c r="BD14" s="22"/>
      <c r="BE14" s="19">
        <f t="shared" si="12"/>
        <v>0</v>
      </c>
      <c r="BF14" s="21">
        <v>1</v>
      </c>
      <c r="BG14" s="21">
        <v>1</v>
      </c>
      <c r="BH14" s="19"/>
      <c r="BI14" s="19"/>
      <c r="BJ14" s="22"/>
      <c r="BK14" s="19">
        <f t="shared" si="13"/>
        <v>0</v>
      </c>
      <c r="BL14" s="22"/>
      <c r="BM14" s="19">
        <f t="shared" si="14"/>
        <v>0</v>
      </c>
      <c r="BN14" s="21">
        <v>1</v>
      </c>
      <c r="BO14" s="21">
        <v>1</v>
      </c>
      <c r="BP14" s="19"/>
      <c r="BQ14" s="19"/>
      <c r="BR14" s="22"/>
      <c r="BS14" s="19">
        <f t="shared" si="15"/>
        <v>0</v>
      </c>
      <c r="BT14" s="22"/>
      <c r="BU14" s="19">
        <f t="shared" si="16"/>
        <v>0</v>
      </c>
      <c r="BV14" s="21">
        <v>1</v>
      </c>
      <c r="BW14" s="21">
        <v>1</v>
      </c>
      <c r="BX14" s="19">
        <v>1500</v>
      </c>
      <c r="BY14" s="19">
        <v>2500</v>
      </c>
      <c r="BZ14" s="22">
        <v>0.35</v>
      </c>
      <c r="CA14" s="19">
        <f t="shared" si="17"/>
        <v>525</v>
      </c>
      <c r="CB14" s="22">
        <v>0.38</v>
      </c>
      <c r="CC14" s="19">
        <f t="shared" si="18"/>
        <v>950</v>
      </c>
      <c r="CD14" s="21">
        <v>2</v>
      </c>
      <c r="CE14" s="21">
        <v>2</v>
      </c>
      <c r="CF14" s="19">
        <v>1500</v>
      </c>
      <c r="CG14" s="19">
        <v>2500</v>
      </c>
      <c r="CH14" s="22">
        <v>0.35</v>
      </c>
      <c r="CI14" s="19">
        <f t="shared" si="19"/>
        <v>525</v>
      </c>
      <c r="CJ14" s="22">
        <v>0.38</v>
      </c>
      <c r="CK14" s="25">
        <f t="shared" si="20"/>
        <v>950</v>
      </c>
      <c r="CL14" s="21">
        <v>2</v>
      </c>
      <c r="CM14" s="21">
        <v>2</v>
      </c>
      <c r="CN14" s="19">
        <v>1500</v>
      </c>
      <c r="CO14" s="19">
        <v>2500</v>
      </c>
      <c r="CP14" s="22">
        <v>0.35</v>
      </c>
      <c r="CQ14" s="25">
        <f t="shared" si="21"/>
        <v>525</v>
      </c>
      <c r="CR14" s="22">
        <v>0.38</v>
      </c>
      <c r="CS14" s="25">
        <f t="shared" si="22"/>
        <v>950</v>
      </c>
      <c r="CT14" s="21">
        <v>2</v>
      </c>
      <c r="CU14" s="21">
        <v>2</v>
      </c>
      <c r="CV14" s="19">
        <v>1500</v>
      </c>
      <c r="CW14" s="19">
        <v>2500</v>
      </c>
      <c r="CX14" s="22">
        <v>0.35</v>
      </c>
      <c r="CY14" s="25">
        <f t="shared" si="23"/>
        <v>525</v>
      </c>
      <c r="CZ14" s="22">
        <v>0.38</v>
      </c>
      <c r="DA14" s="19">
        <f t="shared" si="24"/>
        <v>950</v>
      </c>
      <c r="DB14" s="21">
        <v>2</v>
      </c>
      <c r="DC14" s="21">
        <v>2</v>
      </c>
      <c r="DD14" s="19">
        <f t="shared" si="25"/>
        <v>6000</v>
      </c>
      <c r="DE14" s="19">
        <f t="shared" si="26"/>
        <v>2100</v>
      </c>
      <c r="DF14" s="22">
        <f t="shared" si="27"/>
        <v>0.35</v>
      </c>
      <c r="DG14" s="19">
        <f t="shared" si="28"/>
        <v>10000</v>
      </c>
      <c r="DH14" s="19">
        <f t="shared" si="29"/>
        <v>3800</v>
      </c>
      <c r="DI14" s="26">
        <f t="shared" si="30"/>
        <v>0.38</v>
      </c>
      <c r="DJ14" s="27">
        <f t="shared" si="31"/>
        <v>16</v>
      </c>
      <c r="DK14" s="27">
        <f t="shared" si="32"/>
        <v>16</v>
      </c>
      <c r="DL14" s="23" t="s">
        <v>145</v>
      </c>
      <c r="DM14" s="19">
        <v>1000000</v>
      </c>
      <c r="DN14" s="19"/>
      <c r="DO14" s="19">
        <v>500000</v>
      </c>
      <c r="DP14" s="24">
        <f t="shared" si="33"/>
        <v>6.0000000000000001E-3</v>
      </c>
      <c r="DQ14" s="28"/>
    </row>
    <row r="15" spans="1:122">
      <c r="A15" s="3" t="s">
        <v>140</v>
      </c>
      <c r="B15" s="3" t="s">
        <v>146</v>
      </c>
      <c r="C15" s="19">
        <v>161200</v>
      </c>
      <c r="D15" s="19">
        <v>169430</v>
      </c>
      <c r="E15" s="19">
        <v>188000</v>
      </c>
      <c r="F15" s="19">
        <v>175000</v>
      </c>
      <c r="G15" s="19">
        <v>250000</v>
      </c>
      <c r="H15" s="19">
        <v>300000</v>
      </c>
      <c r="I15" s="19">
        <v>200000</v>
      </c>
      <c r="J15" s="19">
        <v>50000</v>
      </c>
      <c r="K15" s="30">
        <f t="shared" si="0"/>
        <v>66666.666666666672</v>
      </c>
      <c r="L15" s="19"/>
      <c r="M15" s="19"/>
      <c r="N15" s="22"/>
      <c r="O15" s="25">
        <f t="shared" si="1"/>
        <v>0</v>
      </c>
      <c r="P15" s="22"/>
      <c r="Q15" s="19">
        <f t="shared" si="2"/>
        <v>0</v>
      </c>
      <c r="R15" s="20">
        <v>1</v>
      </c>
      <c r="S15" s="20">
        <v>1</v>
      </c>
      <c r="T15" s="19">
        <v>20000</v>
      </c>
      <c r="U15" s="19">
        <v>20000</v>
      </c>
      <c r="V15" s="22">
        <v>0.156</v>
      </c>
      <c r="W15" s="19">
        <f t="shared" si="3"/>
        <v>3120</v>
      </c>
      <c r="X15" s="22">
        <v>0.26</v>
      </c>
      <c r="Y15" s="19">
        <f t="shared" si="4"/>
        <v>5200</v>
      </c>
      <c r="Z15" s="21">
        <v>1</v>
      </c>
      <c r="AA15" s="21">
        <v>1</v>
      </c>
      <c r="AB15" s="19">
        <v>30000</v>
      </c>
      <c r="AC15" s="19">
        <v>30000</v>
      </c>
      <c r="AD15" s="22">
        <v>0.156</v>
      </c>
      <c r="AE15" s="19">
        <f t="shared" si="5"/>
        <v>4680</v>
      </c>
      <c r="AF15" s="22">
        <v>0.26</v>
      </c>
      <c r="AG15" s="19">
        <f t="shared" si="6"/>
        <v>7800</v>
      </c>
      <c r="AH15" s="21">
        <v>1</v>
      </c>
      <c r="AI15" s="21">
        <v>1</v>
      </c>
      <c r="AJ15" s="19">
        <v>30000</v>
      </c>
      <c r="AK15" s="19">
        <v>30000</v>
      </c>
      <c r="AL15" s="22">
        <v>0.156</v>
      </c>
      <c r="AM15" s="19">
        <f t="shared" si="7"/>
        <v>4680</v>
      </c>
      <c r="AN15" s="22">
        <v>0.26</v>
      </c>
      <c r="AO15" s="19">
        <f t="shared" si="8"/>
        <v>7800</v>
      </c>
      <c r="AP15" s="21">
        <v>1</v>
      </c>
      <c r="AQ15" s="21">
        <v>1</v>
      </c>
      <c r="AR15" s="19">
        <v>45000</v>
      </c>
      <c r="AS15" s="19">
        <v>45000</v>
      </c>
      <c r="AT15" s="22">
        <v>0.156</v>
      </c>
      <c r="AU15" s="19">
        <f t="shared" si="9"/>
        <v>7020</v>
      </c>
      <c r="AV15" s="22">
        <v>0.26</v>
      </c>
      <c r="AW15" s="19">
        <f t="shared" si="10"/>
        <v>11700</v>
      </c>
      <c r="AX15" s="21">
        <v>1</v>
      </c>
      <c r="AY15" s="21">
        <v>1</v>
      </c>
      <c r="AZ15" s="19">
        <v>55000</v>
      </c>
      <c r="BA15" s="19">
        <v>55000</v>
      </c>
      <c r="BB15" s="22">
        <v>0.156</v>
      </c>
      <c r="BC15" s="19">
        <f t="shared" si="11"/>
        <v>8580</v>
      </c>
      <c r="BD15" s="22">
        <v>0.26</v>
      </c>
      <c r="BE15" s="19">
        <f t="shared" si="12"/>
        <v>14300</v>
      </c>
      <c r="BF15" s="21">
        <v>1</v>
      </c>
      <c r="BG15" s="21">
        <v>1</v>
      </c>
      <c r="BH15" s="19"/>
      <c r="BI15" s="19"/>
      <c r="BJ15" s="22"/>
      <c r="BK15" s="19">
        <f t="shared" si="13"/>
        <v>0</v>
      </c>
      <c r="BL15" s="22"/>
      <c r="BM15" s="19">
        <f t="shared" si="14"/>
        <v>0</v>
      </c>
      <c r="BN15" s="21">
        <v>1</v>
      </c>
      <c r="BO15" s="21">
        <v>1</v>
      </c>
      <c r="BP15" s="19">
        <v>5000</v>
      </c>
      <c r="BQ15" s="19">
        <v>5000</v>
      </c>
      <c r="BR15" s="22">
        <v>0.156</v>
      </c>
      <c r="BS15" s="19">
        <f t="shared" si="15"/>
        <v>780</v>
      </c>
      <c r="BT15" s="22">
        <v>0.26</v>
      </c>
      <c r="BU15" s="19">
        <f t="shared" si="16"/>
        <v>1300</v>
      </c>
      <c r="BV15" s="21">
        <v>1</v>
      </c>
      <c r="BW15" s="21">
        <v>1</v>
      </c>
      <c r="BX15" s="19">
        <v>5000</v>
      </c>
      <c r="BY15" s="19">
        <v>5000</v>
      </c>
      <c r="BZ15" s="22">
        <v>0.156</v>
      </c>
      <c r="CA15" s="19">
        <f t="shared" si="17"/>
        <v>780</v>
      </c>
      <c r="CB15" s="22">
        <v>0.26</v>
      </c>
      <c r="CC15" s="19">
        <f t="shared" si="18"/>
        <v>1300</v>
      </c>
      <c r="CD15" s="21">
        <v>1</v>
      </c>
      <c r="CE15" s="21">
        <v>1</v>
      </c>
      <c r="CF15" s="19">
        <v>5000</v>
      </c>
      <c r="CG15" s="19">
        <v>5000</v>
      </c>
      <c r="CH15" s="22">
        <v>0.156</v>
      </c>
      <c r="CI15" s="19">
        <f t="shared" si="19"/>
        <v>780</v>
      </c>
      <c r="CJ15" s="22">
        <v>0.26</v>
      </c>
      <c r="CK15" s="25">
        <f t="shared" si="20"/>
        <v>1300</v>
      </c>
      <c r="CL15" s="21">
        <v>1</v>
      </c>
      <c r="CM15" s="21">
        <v>1</v>
      </c>
      <c r="CN15" s="19">
        <v>5000</v>
      </c>
      <c r="CO15" s="19">
        <v>5000</v>
      </c>
      <c r="CP15" s="22">
        <v>0.156</v>
      </c>
      <c r="CQ15" s="25">
        <f t="shared" si="21"/>
        <v>780</v>
      </c>
      <c r="CR15" s="22">
        <v>0.26</v>
      </c>
      <c r="CS15" s="25">
        <f t="shared" si="22"/>
        <v>1300</v>
      </c>
      <c r="CT15" s="21">
        <v>1</v>
      </c>
      <c r="CU15" s="21">
        <v>1</v>
      </c>
      <c r="CV15" s="19"/>
      <c r="CW15" s="19"/>
      <c r="CX15" s="22"/>
      <c r="CY15" s="25">
        <f t="shared" si="23"/>
        <v>0</v>
      </c>
      <c r="CZ15" s="22"/>
      <c r="DA15" s="19">
        <f t="shared" si="24"/>
        <v>0</v>
      </c>
      <c r="DB15" s="21">
        <v>1</v>
      </c>
      <c r="DC15" s="21">
        <v>1</v>
      </c>
      <c r="DD15" s="19">
        <f t="shared" si="25"/>
        <v>200000</v>
      </c>
      <c r="DE15" s="19">
        <f t="shared" si="26"/>
        <v>31200</v>
      </c>
      <c r="DF15" s="22">
        <f t="shared" si="27"/>
        <v>0.156</v>
      </c>
      <c r="DG15" s="19">
        <f t="shared" si="28"/>
        <v>200000</v>
      </c>
      <c r="DH15" s="19">
        <f t="shared" si="29"/>
        <v>52000</v>
      </c>
      <c r="DI15" s="26">
        <f t="shared" si="30"/>
        <v>0.26</v>
      </c>
      <c r="DJ15" s="27">
        <f t="shared" si="31"/>
        <v>12</v>
      </c>
      <c r="DK15" s="27">
        <f t="shared" si="32"/>
        <v>12</v>
      </c>
      <c r="DL15" s="23" t="s">
        <v>147</v>
      </c>
      <c r="DM15" s="19">
        <v>202000</v>
      </c>
      <c r="DN15" s="19"/>
      <c r="DO15" s="19"/>
      <c r="DP15" s="24">
        <f t="shared" si="33"/>
        <v>0.99009900990099009</v>
      </c>
      <c r="DQ15" s="28"/>
    </row>
    <row r="16" spans="1:122">
      <c r="A16" s="3" t="s">
        <v>128</v>
      </c>
      <c r="B16" s="3" t="s">
        <v>148</v>
      </c>
      <c r="C16" s="19">
        <v>4500</v>
      </c>
      <c r="D16" s="19">
        <v>3000</v>
      </c>
      <c r="E16" s="19">
        <v>5500</v>
      </c>
      <c r="F16" s="19">
        <v>2500</v>
      </c>
      <c r="G16" s="19">
        <v>6700</v>
      </c>
      <c r="H16" s="19">
        <v>10000</v>
      </c>
      <c r="I16" s="19">
        <v>22500</v>
      </c>
      <c r="J16" s="19">
        <v>21200</v>
      </c>
      <c r="K16" s="30">
        <f t="shared" si="0"/>
        <v>28266.666666666668</v>
      </c>
      <c r="L16" s="19">
        <v>4000</v>
      </c>
      <c r="M16" s="19">
        <v>4500</v>
      </c>
      <c r="N16" s="26">
        <v>0.46</v>
      </c>
      <c r="O16" s="25">
        <f t="shared" si="1"/>
        <v>1840</v>
      </c>
      <c r="P16" s="22">
        <v>0.55000000000000004</v>
      </c>
      <c r="Q16" s="19">
        <f t="shared" si="2"/>
        <v>2475</v>
      </c>
      <c r="R16" s="20">
        <v>2</v>
      </c>
      <c r="S16" s="20">
        <v>3</v>
      </c>
      <c r="T16" s="19">
        <v>5000</v>
      </c>
      <c r="U16" s="19">
        <v>6000</v>
      </c>
      <c r="V16" s="22">
        <v>0.46</v>
      </c>
      <c r="W16" s="19">
        <f t="shared" si="3"/>
        <v>2300</v>
      </c>
      <c r="X16" s="22">
        <v>0.55000000000000004</v>
      </c>
      <c r="Y16" s="19">
        <f t="shared" si="4"/>
        <v>3300.0000000000005</v>
      </c>
      <c r="Z16" s="21">
        <v>3</v>
      </c>
      <c r="AA16" s="21">
        <v>4</v>
      </c>
      <c r="AB16" s="19">
        <v>5500</v>
      </c>
      <c r="AC16" s="19">
        <v>7000</v>
      </c>
      <c r="AD16" s="22">
        <v>0.46</v>
      </c>
      <c r="AE16" s="19">
        <f t="shared" si="5"/>
        <v>2530</v>
      </c>
      <c r="AF16" s="22">
        <v>0.55000000000000004</v>
      </c>
      <c r="AG16" s="19">
        <f t="shared" si="6"/>
        <v>3850.0000000000005</v>
      </c>
      <c r="AH16" s="21">
        <v>3</v>
      </c>
      <c r="AI16" s="21">
        <v>4</v>
      </c>
      <c r="AJ16" s="19">
        <v>7000</v>
      </c>
      <c r="AK16" s="19">
        <v>9000</v>
      </c>
      <c r="AL16" s="22">
        <v>0.46</v>
      </c>
      <c r="AM16" s="19">
        <f t="shared" si="7"/>
        <v>3220</v>
      </c>
      <c r="AN16" s="22">
        <v>0.55000000000000004</v>
      </c>
      <c r="AO16" s="19">
        <f t="shared" si="8"/>
        <v>4950</v>
      </c>
      <c r="AP16" s="21">
        <v>3</v>
      </c>
      <c r="AQ16" s="21">
        <v>4</v>
      </c>
      <c r="AR16" s="19">
        <v>7000</v>
      </c>
      <c r="AS16" s="19">
        <v>10000</v>
      </c>
      <c r="AT16" s="22">
        <v>0.46</v>
      </c>
      <c r="AU16" s="19">
        <f t="shared" si="9"/>
        <v>3220</v>
      </c>
      <c r="AV16" s="22">
        <v>0.55000000000000004</v>
      </c>
      <c r="AW16" s="19">
        <f t="shared" si="10"/>
        <v>5500</v>
      </c>
      <c r="AX16" s="21">
        <v>3</v>
      </c>
      <c r="AY16" s="21">
        <v>4</v>
      </c>
      <c r="AZ16" s="19">
        <v>7000</v>
      </c>
      <c r="BA16" s="19">
        <v>10000</v>
      </c>
      <c r="BB16" s="22">
        <v>0.46</v>
      </c>
      <c r="BC16" s="19">
        <f t="shared" si="11"/>
        <v>3220</v>
      </c>
      <c r="BD16" s="22">
        <v>0.55000000000000004</v>
      </c>
      <c r="BE16" s="19">
        <f t="shared" si="12"/>
        <v>5500</v>
      </c>
      <c r="BF16" s="21">
        <v>3</v>
      </c>
      <c r="BG16" s="21">
        <v>4</v>
      </c>
      <c r="BH16" s="19">
        <v>7000</v>
      </c>
      <c r="BI16" s="19">
        <v>10000</v>
      </c>
      <c r="BJ16" s="22">
        <v>0.46</v>
      </c>
      <c r="BK16" s="19">
        <f t="shared" si="13"/>
        <v>3220</v>
      </c>
      <c r="BL16" s="22">
        <v>0.55000000000000004</v>
      </c>
      <c r="BM16" s="19">
        <f t="shared" si="14"/>
        <v>5500</v>
      </c>
      <c r="BN16" s="21">
        <v>3</v>
      </c>
      <c r="BO16" s="21">
        <v>4</v>
      </c>
      <c r="BP16" s="19">
        <v>7000</v>
      </c>
      <c r="BQ16" s="19">
        <v>10000</v>
      </c>
      <c r="BR16" s="22">
        <v>0.46</v>
      </c>
      <c r="BS16" s="19">
        <f t="shared" si="15"/>
        <v>3220</v>
      </c>
      <c r="BT16" s="22">
        <v>0.55000000000000004</v>
      </c>
      <c r="BU16" s="19">
        <f t="shared" si="16"/>
        <v>5500</v>
      </c>
      <c r="BV16" s="21">
        <v>3</v>
      </c>
      <c r="BW16" s="21">
        <v>4</v>
      </c>
      <c r="BX16" s="19">
        <v>7000</v>
      </c>
      <c r="BY16" s="19">
        <v>10000</v>
      </c>
      <c r="BZ16" s="22">
        <v>0.46</v>
      </c>
      <c r="CA16" s="19">
        <f t="shared" si="17"/>
        <v>3220</v>
      </c>
      <c r="CB16" s="22">
        <v>0.55000000000000004</v>
      </c>
      <c r="CC16" s="19">
        <f t="shared" si="18"/>
        <v>5500</v>
      </c>
      <c r="CD16" s="21">
        <v>3</v>
      </c>
      <c r="CE16" s="21">
        <v>4</v>
      </c>
      <c r="CF16" s="19">
        <v>7000</v>
      </c>
      <c r="CG16" s="19">
        <v>10000</v>
      </c>
      <c r="CH16" s="22">
        <v>0.46</v>
      </c>
      <c r="CI16" s="19">
        <f t="shared" si="19"/>
        <v>3220</v>
      </c>
      <c r="CJ16" s="22">
        <v>0.55000000000000004</v>
      </c>
      <c r="CK16" s="25">
        <f t="shared" si="20"/>
        <v>5500</v>
      </c>
      <c r="CL16" s="21">
        <v>3</v>
      </c>
      <c r="CM16" s="21">
        <v>4</v>
      </c>
      <c r="CN16" s="19">
        <v>7000</v>
      </c>
      <c r="CO16" s="19">
        <v>10000</v>
      </c>
      <c r="CP16" s="22">
        <v>0.46</v>
      </c>
      <c r="CQ16" s="25">
        <f t="shared" si="21"/>
        <v>3220</v>
      </c>
      <c r="CR16" s="22">
        <v>0.55000000000000004</v>
      </c>
      <c r="CS16" s="25">
        <f t="shared" si="22"/>
        <v>5500</v>
      </c>
      <c r="CT16" s="21">
        <v>3</v>
      </c>
      <c r="CU16" s="21">
        <v>4</v>
      </c>
      <c r="CV16" s="19">
        <v>7000</v>
      </c>
      <c r="CW16" s="19">
        <v>10000</v>
      </c>
      <c r="CX16" s="22">
        <v>0.46</v>
      </c>
      <c r="CY16" s="25">
        <f t="shared" si="23"/>
        <v>3220</v>
      </c>
      <c r="CZ16" s="22">
        <v>0.55000000000000004</v>
      </c>
      <c r="DA16" s="19">
        <f t="shared" si="24"/>
        <v>5500</v>
      </c>
      <c r="DB16" s="21">
        <v>3</v>
      </c>
      <c r="DC16" s="21">
        <v>4</v>
      </c>
      <c r="DD16" s="19">
        <f t="shared" si="25"/>
        <v>77500</v>
      </c>
      <c r="DE16" s="19">
        <f t="shared" si="26"/>
        <v>32430.46</v>
      </c>
      <c r="DF16" s="22">
        <f t="shared" si="27"/>
        <v>0.41845754838709676</v>
      </c>
      <c r="DG16" s="19">
        <f t="shared" si="28"/>
        <v>106500</v>
      </c>
      <c r="DH16" s="19">
        <f t="shared" si="29"/>
        <v>58575</v>
      </c>
      <c r="DI16" s="26">
        <f t="shared" si="30"/>
        <v>0.55000000000000004</v>
      </c>
      <c r="DJ16" s="27">
        <f t="shared" si="31"/>
        <v>35</v>
      </c>
      <c r="DK16" s="27">
        <f t="shared" si="32"/>
        <v>47</v>
      </c>
      <c r="DL16" s="23" t="s">
        <v>149</v>
      </c>
      <c r="DM16" s="19">
        <v>2500000</v>
      </c>
      <c r="DN16" s="19">
        <v>100000</v>
      </c>
      <c r="DO16" s="19">
        <v>1100000</v>
      </c>
      <c r="DP16" s="24">
        <f t="shared" si="33"/>
        <v>3.1E-2</v>
      </c>
      <c r="DQ16" s="28"/>
    </row>
    <row r="17" spans="1:122">
      <c r="A17" s="3" t="s">
        <v>123</v>
      </c>
      <c r="B17" s="3" t="s">
        <v>150</v>
      </c>
      <c r="C17" s="19">
        <v>34600</v>
      </c>
      <c r="D17" s="19">
        <v>42300</v>
      </c>
      <c r="E17" s="19">
        <v>56700</v>
      </c>
      <c r="F17" s="19">
        <v>95600</v>
      </c>
      <c r="G17" s="19">
        <v>133200</v>
      </c>
      <c r="H17" s="19">
        <v>187400</v>
      </c>
      <c r="I17" s="19">
        <v>234500</v>
      </c>
      <c r="J17" s="19">
        <v>177500</v>
      </c>
      <c r="K17" s="30">
        <f t="shared" si="0"/>
        <v>236666.66666666669</v>
      </c>
      <c r="L17" s="19">
        <v>21000</v>
      </c>
      <c r="M17" s="19">
        <v>25000</v>
      </c>
      <c r="N17" s="22">
        <v>0.19900000000000001</v>
      </c>
      <c r="O17" s="25">
        <f t="shared" si="1"/>
        <v>4179</v>
      </c>
      <c r="P17" s="22">
        <v>0.26</v>
      </c>
      <c r="Q17" s="19">
        <f t="shared" si="2"/>
        <v>6500</v>
      </c>
      <c r="R17" s="20">
        <v>1</v>
      </c>
      <c r="S17" s="20">
        <v>1</v>
      </c>
      <c r="T17" s="19">
        <v>64000</v>
      </c>
      <c r="U17" s="19">
        <v>70000</v>
      </c>
      <c r="V17" s="22">
        <v>0.19900000000000001</v>
      </c>
      <c r="W17" s="19">
        <f t="shared" si="3"/>
        <v>12736</v>
      </c>
      <c r="X17" s="22">
        <v>0.26</v>
      </c>
      <c r="Y17" s="19">
        <f t="shared" si="4"/>
        <v>18200</v>
      </c>
      <c r="Z17" s="21">
        <v>1</v>
      </c>
      <c r="AA17" s="21">
        <v>1</v>
      </c>
      <c r="AB17" s="19">
        <v>64000</v>
      </c>
      <c r="AC17" s="19">
        <v>70000</v>
      </c>
      <c r="AD17" s="22">
        <v>0.19900000000000001</v>
      </c>
      <c r="AE17" s="19">
        <f t="shared" si="5"/>
        <v>12736</v>
      </c>
      <c r="AF17" s="22">
        <v>0.26</v>
      </c>
      <c r="AG17" s="19">
        <f t="shared" si="6"/>
        <v>18200</v>
      </c>
      <c r="AH17" s="21">
        <v>1</v>
      </c>
      <c r="AI17" s="21">
        <v>1</v>
      </c>
      <c r="AJ17" s="19"/>
      <c r="AK17" s="19"/>
      <c r="AL17" s="22"/>
      <c r="AM17" s="19">
        <f t="shared" si="7"/>
        <v>0</v>
      </c>
      <c r="AN17" s="22"/>
      <c r="AO17" s="19">
        <f t="shared" si="8"/>
        <v>0</v>
      </c>
      <c r="AP17" s="21">
        <v>1</v>
      </c>
      <c r="AQ17" s="21">
        <v>1</v>
      </c>
      <c r="AR17" s="19"/>
      <c r="AS17" s="19"/>
      <c r="AT17" s="22"/>
      <c r="AU17" s="19">
        <f t="shared" si="9"/>
        <v>0</v>
      </c>
      <c r="AV17" s="22"/>
      <c r="AW17" s="19">
        <f t="shared" si="10"/>
        <v>0</v>
      </c>
      <c r="AX17" s="21">
        <v>1</v>
      </c>
      <c r="AY17" s="21">
        <v>1</v>
      </c>
      <c r="AZ17" s="19"/>
      <c r="BA17" s="19"/>
      <c r="BB17" s="22"/>
      <c r="BC17" s="19">
        <f t="shared" si="11"/>
        <v>0</v>
      </c>
      <c r="BD17" s="22"/>
      <c r="BE17" s="19">
        <f t="shared" si="12"/>
        <v>0</v>
      </c>
      <c r="BF17" s="21">
        <v>1</v>
      </c>
      <c r="BG17" s="21">
        <v>1</v>
      </c>
      <c r="BH17" s="19">
        <v>22000</v>
      </c>
      <c r="BI17" s="19">
        <v>30000</v>
      </c>
      <c r="BJ17" s="22">
        <v>0.19900000000000001</v>
      </c>
      <c r="BK17" s="19">
        <f t="shared" si="13"/>
        <v>4378</v>
      </c>
      <c r="BL17" s="22">
        <v>0.26</v>
      </c>
      <c r="BM17" s="19">
        <f t="shared" si="14"/>
        <v>7800</v>
      </c>
      <c r="BN17" s="21">
        <v>1</v>
      </c>
      <c r="BO17" s="21">
        <v>1</v>
      </c>
      <c r="BP17" s="19">
        <v>22000</v>
      </c>
      <c r="BQ17" s="19">
        <v>30000</v>
      </c>
      <c r="BR17" s="22">
        <v>0.19900000000000001</v>
      </c>
      <c r="BS17" s="19">
        <f t="shared" si="15"/>
        <v>4378</v>
      </c>
      <c r="BT17" s="22">
        <v>0.26</v>
      </c>
      <c r="BU17" s="19">
        <f t="shared" si="16"/>
        <v>7800</v>
      </c>
      <c r="BV17" s="21">
        <v>1</v>
      </c>
      <c r="BW17" s="21">
        <v>1</v>
      </c>
      <c r="BX17" s="19">
        <v>22000</v>
      </c>
      <c r="BY17" s="19">
        <v>30000</v>
      </c>
      <c r="BZ17" s="22">
        <v>0.19900000000000001</v>
      </c>
      <c r="CA17" s="19">
        <f t="shared" si="17"/>
        <v>4378</v>
      </c>
      <c r="CB17" s="22">
        <v>0.26</v>
      </c>
      <c r="CC17" s="19">
        <f t="shared" si="18"/>
        <v>7800</v>
      </c>
      <c r="CD17" s="21">
        <v>1</v>
      </c>
      <c r="CE17" s="21">
        <v>1</v>
      </c>
      <c r="CF17" s="19">
        <v>5000</v>
      </c>
      <c r="CG17" s="19">
        <v>5000</v>
      </c>
      <c r="CH17" s="22">
        <v>0.19900000000000001</v>
      </c>
      <c r="CI17" s="19">
        <f t="shared" si="19"/>
        <v>995</v>
      </c>
      <c r="CJ17" s="22">
        <v>0.26</v>
      </c>
      <c r="CK17" s="25">
        <f t="shared" si="20"/>
        <v>1300</v>
      </c>
      <c r="CL17" s="21">
        <v>1</v>
      </c>
      <c r="CM17" s="21">
        <v>1</v>
      </c>
      <c r="CN17" s="19">
        <v>5000</v>
      </c>
      <c r="CO17" s="19">
        <v>5000</v>
      </c>
      <c r="CP17" s="22">
        <v>0.19900000000000001</v>
      </c>
      <c r="CQ17" s="25">
        <f t="shared" si="21"/>
        <v>995</v>
      </c>
      <c r="CR17" s="22"/>
      <c r="CS17" s="25">
        <f t="shared" si="22"/>
        <v>0</v>
      </c>
      <c r="CT17" s="21">
        <v>1</v>
      </c>
      <c r="CU17" s="21">
        <v>1</v>
      </c>
      <c r="CV17" s="19"/>
      <c r="CW17" s="19"/>
      <c r="CX17" s="22"/>
      <c r="CY17" s="25">
        <f t="shared" si="23"/>
        <v>0</v>
      </c>
      <c r="CZ17" s="22"/>
      <c r="DA17" s="19">
        <f t="shared" si="24"/>
        <v>0</v>
      </c>
      <c r="DB17" s="21">
        <v>1</v>
      </c>
      <c r="DC17" s="21">
        <v>1</v>
      </c>
      <c r="DD17" s="19">
        <f t="shared" si="25"/>
        <v>225000</v>
      </c>
      <c r="DE17" s="19">
        <f t="shared" si="26"/>
        <v>40397.199000000001</v>
      </c>
      <c r="DF17" s="22">
        <f t="shared" si="27"/>
        <v>0.17954310666666667</v>
      </c>
      <c r="DG17" s="19">
        <f t="shared" si="28"/>
        <v>265000</v>
      </c>
      <c r="DH17" s="19">
        <f t="shared" si="29"/>
        <v>67600</v>
      </c>
      <c r="DI17" s="26">
        <f t="shared" si="30"/>
        <v>0.2550943396226415</v>
      </c>
      <c r="DJ17" s="27">
        <f t="shared" si="31"/>
        <v>12</v>
      </c>
      <c r="DK17" s="27">
        <f t="shared" si="32"/>
        <v>12</v>
      </c>
      <c r="DL17" s="23" t="s">
        <v>151</v>
      </c>
      <c r="DM17" s="19">
        <v>600000</v>
      </c>
      <c r="DN17" s="19"/>
      <c r="DO17" s="19">
        <v>150000</v>
      </c>
      <c r="DP17" s="24">
        <f t="shared" si="33"/>
        <v>0.375</v>
      </c>
      <c r="DQ17" s="28"/>
    </row>
    <row r="18" spans="1:122">
      <c r="A18" s="3" t="s">
        <v>131</v>
      </c>
      <c r="B18" s="3" t="s">
        <v>152</v>
      </c>
      <c r="C18" s="19"/>
      <c r="D18" s="19"/>
      <c r="E18" s="19"/>
      <c r="F18" s="19"/>
      <c r="G18" s="19"/>
      <c r="H18" s="19"/>
      <c r="I18" s="19"/>
      <c r="J18" s="19"/>
      <c r="K18" s="30">
        <f t="shared" si="0"/>
        <v>0</v>
      </c>
      <c r="L18" s="19"/>
      <c r="M18" s="19"/>
      <c r="N18" s="22"/>
      <c r="O18" s="25">
        <f t="shared" si="1"/>
        <v>0</v>
      </c>
      <c r="P18" s="22"/>
      <c r="Q18" s="19">
        <f t="shared" si="2"/>
        <v>0</v>
      </c>
      <c r="R18" s="20">
        <v>1</v>
      </c>
      <c r="S18" s="20">
        <v>1</v>
      </c>
      <c r="T18" s="19"/>
      <c r="U18" s="19"/>
      <c r="V18" s="22"/>
      <c r="W18" s="19">
        <f t="shared" si="3"/>
        <v>0</v>
      </c>
      <c r="X18" s="22"/>
      <c r="Y18" s="19">
        <f t="shared" si="4"/>
        <v>0</v>
      </c>
      <c r="Z18" s="21">
        <v>1</v>
      </c>
      <c r="AA18" s="21">
        <v>1</v>
      </c>
      <c r="AB18" s="19"/>
      <c r="AC18" s="19"/>
      <c r="AD18" s="22"/>
      <c r="AE18" s="19">
        <f t="shared" si="5"/>
        <v>0</v>
      </c>
      <c r="AF18" s="22"/>
      <c r="AG18" s="19">
        <f t="shared" si="6"/>
        <v>0</v>
      </c>
      <c r="AH18" s="21">
        <v>1</v>
      </c>
      <c r="AI18" s="21">
        <v>1</v>
      </c>
      <c r="AJ18" s="19">
        <v>500</v>
      </c>
      <c r="AK18" s="19">
        <v>1000</v>
      </c>
      <c r="AL18" s="22">
        <v>0.33</v>
      </c>
      <c r="AM18" s="19">
        <f t="shared" si="7"/>
        <v>165</v>
      </c>
      <c r="AN18" s="22">
        <v>0.38</v>
      </c>
      <c r="AO18" s="19">
        <f t="shared" si="8"/>
        <v>380</v>
      </c>
      <c r="AP18" s="21">
        <v>2</v>
      </c>
      <c r="AQ18" s="21">
        <v>2</v>
      </c>
      <c r="AR18" s="19">
        <v>750</v>
      </c>
      <c r="AS18" s="19">
        <v>1000</v>
      </c>
      <c r="AT18" s="22">
        <v>0.33</v>
      </c>
      <c r="AU18" s="19">
        <f t="shared" si="9"/>
        <v>247.5</v>
      </c>
      <c r="AV18" s="22">
        <v>0.38</v>
      </c>
      <c r="AW18" s="19">
        <f t="shared" si="10"/>
        <v>380</v>
      </c>
      <c r="AX18" s="21">
        <v>2</v>
      </c>
      <c r="AY18" s="21">
        <v>2</v>
      </c>
      <c r="AZ18" s="19">
        <v>1000</v>
      </c>
      <c r="BA18" s="19">
        <v>1500</v>
      </c>
      <c r="BB18" s="22">
        <v>0.33</v>
      </c>
      <c r="BC18" s="19">
        <f t="shared" si="11"/>
        <v>330</v>
      </c>
      <c r="BD18" s="22">
        <v>0.38</v>
      </c>
      <c r="BE18" s="19">
        <f t="shared" si="12"/>
        <v>570</v>
      </c>
      <c r="BF18" s="21">
        <v>2</v>
      </c>
      <c r="BG18" s="21">
        <v>2</v>
      </c>
      <c r="BH18" s="19">
        <v>1000</v>
      </c>
      <c r="BI18" s="19">
        <v>1500</v>
      </c>
      <c r="BJ18" s="22">
        <v>0.33</v>
      </c>
      <c r="BK18" s="19">
        <f t="shared" si="13"/>
        <v>330</v>
      </c>
      <c r="BL18" s="22">
        <v>0.38</v>
      </c>
      <c r="BM18" s="19">
        <f t="shared" si="14"/>
        <v>570</v>
      </c>
      <c r="BN18" s="21">
        <v>2</v>
      </c>
      <c r="BO18" s="21">
        <v>2</v>
      </c>
      <c r="BP18" s="19">
        <v>1000</v>
      </c>
      <c r="BQ18" s="19">
        <v>1500</v>
      </c>
      <c r="BR18" s="22">
        <v>0.33</v>
      </c>
      <c r="BS18" s="19">
        <f t="shared" si="15"/>
        <v>330</v>
      </c>
      <c r="BT18" s="22">
        <v>0.38</v>
      </c>
      <c r="BU18" s="19">
        <f t="shared" si="16"/>
        <v>570</v>
      </c>
      <c r="BV18" s="21">
        <v>2</v>
      </c>
      <c r="BW18" s="21">
        <v>2</v>
      </c>
      <c r="BX18" s="19">
        <v>1500</v>
      </c>
      <c r="BY18" s="19">
        <v>2000</v>
      </c>
      <c r="BZ18" s="22">
        <v>0.33</v>
      </c>
      <c r="CA18" s="19">
        <f t="shared" si="17"/>
        <v>495</v>
      </c>
      <c r="CB18" s="22">
        <v>0.38</v>
      </c>
      <c r="CC18" s="19">
        <f t="shared" si="18"/>
        <v>760</v>
      </c>
      <c r="CD18" s="21">
        <v>2</v>
      </c>
      <c r="CE18" s="21">
        <v>2</v>
      </c>
      <c r="CF18" s="19">
        <v>1500</v>
      </c>
      <c r="CG18" s="19">
        <v>2000</v>
      </c>
      <c r="CH18" s="22">
        <v>0.33</v>
      </c>
      <c r="CI18" s="19">
        <f t="shared" si="19"/>
        <v>495</v>
      </c>
      <c r="CJ18" s="22">
        <v>0.38</v>
      </c>
      <c r="CK18" s="25">
        <f t="shared" si="20"/>
        <v>760</v>
      </c>
      <c r="CL18" s="21">
        <v>2</v>
      </c>
      <c r="CM18" s="21">
        <v>2</v>
      </c>
      <c r="CN18" s="19">
        <v>1500</v>
      </c>
      <c r="CO18" s="19">
        <v>2000</v>
      </c>
      <c r="CP18" s="22">
        <v>0.33</v>
      </c>
      <c r="CQ18" s="25">
        <f t="shared" si="21"/>
        <v>495</v>
      </c>
      <c r="CR18" s="22">
        <v>0.38</v>
      </c>
      <c r="CS18" s="25">
        <f t="shared" si="22"/>
        <v>760</v>
      </c>
      <c r="CT18" s="21">
        <v>2</v>
      </c>
      <c r="CU18" s="21">
        <v>2</v>
      </c>
      <c r="CV18" s="19">
        <v>1500</v>
      </c>
      <c r="CW18" s="19">
        <v>2000</v>
      </c>
      <c r="CX18" s="22">
        <v>0.33</v>
      </c>
      <c r="CY18" s="25">
        <f t="shared" si="23"/>
        <v>495</v>
      </c>
      <c r="CZ18" s="22">
        <v>0.38</v>
      </c>
      <c r="DA18" s="19">
        <f t="shared" si="24"/>
        <v>760</v>
      </c>
      <c r="DB18" s="21">
        <v>2</v>
      </c>
      <c r="DC18" s="21">
        <v>2</v>
      </c>
      <c r="DD18" s="19">
        <f t="shared" si="25"/>
        <v>10250</v>
      </c>
      <c r="DE18" s="19">
        <f t="shared" si="26"/>
        <v>3052.83</v>
      </c>
      <c r="DF18" s="22">
        <f t="shared" si="27"/>
        <v>0.29783707317073171</v>
      </c>
      <c r="DG18" s="19">
        <f t="shared" si="28"/>
        <v>14500</v>
      </c>
      <c r="DH18" s="19">
        <f t="shared" si="29"/>
        <v>5510</v>
      </c>
      <c r="DI18" s="26">
        <f t="shared" si="30"/>
        <v>0.38</v>
      </c>
      <c r="DJ18" s="27">
        <f t="shared" si="31"/>
        <v>21</v>
      </c>
      <c r="DK18" s="27">
        <f t="shared" si="32"/>
        <v>21</v>
      </c>
      <c r="DL18" s="23" t="s">
        <v>145</v>
      </c>
      <c r="DM18" s="19">
        <v>80000</v>
      </c>
      <c r="DN18" s="19"/>
      <c r="DO18" s="19">
        <v>35000</v>
      </c>
      <c r="DP18" s="24">
        <f t="shared" si="33"/>
        <v>0.12812499999999999</v>
      </c>
      <c r="DQ18" s="28"/>
    </row>
    <row r="19" spans="1:122">
      <c r="A19" s="3" t="s">
        <v>140</v>
      </c>
      <c r="B19" s="32" t="s">
        <v>153</v>
      </c>
      <c r="C19" s="19">
        <v>145267</v>
      </c>
      <c r="D19" s="19">
        <v>140200</v>
      </c>
      <c r="E19" s="19">
        <v>123400</v>
      </c>
      <c r="F19" s="19">
        <v>124600</v>
      </c>
      <c r="G19" s="19">
        <v>41000</v>
      </c>
      <c r="H19" s="19">
        <v>22560</v>
      </c>
      <c r="I19" s="19">
        <v>31400</v>
      </c>
      <c r="J19" s="19">
        <v>34562</v>
      </c>
      <c r="K19" s="30">
        <f t="shared" si="0"/>
        <v>46082.666666666664</v>
      </c>
      <c r="L19" s="19">
        <v>4000</v>
      </c>
      <c r="M19" s="19">
        <v>5000</v>
      </c>
      <c r="N19" s="26">
        <v>0.23200000000000001</v>
      </c>
      <c r="O19" s="25">
        <f t="shared" si="1"/>
        <v>928</v>
      </c>
      <c r="P19" s="22">
        <v>0.3</v>
      </c>
      <c r="Q19" s="19">
        <f t="shared" si="2"/>
        <v>1500</v>
      </c>
      <c r="R19" s="20">
        <v>1</v>
      </c>
      <c r="S19" s="20">
        <v>1</v>
      </c>
      <c r="T19" s="19">
        <v>4000</v>
      </c>
      <c r="U19" s="19">
        <v>5000</v>
      </c>
      <c r="V19" s="26">
        <v>0.23200000000000001</v>
      </c>
      <c r="W19" s="19">
        <f t="shared" si="3"/>
        <v>928</v>
      </c>
      <c r="X19" s="22">
        <v>0.3</v>
      </c>
      <c r="Y19" s="19">
        <f t="shared" si="4"/>
        <v>1500</v>
      </c>
      <c r="Z19" s="21"/>
      <c r="AA19" s="21"/>
      <c r="AB19" s="19">
        <v>4000</v>
      </c>
      <c r="AC19" s="19">
        <v>5000</v>
      </c>
      <c r="AD19" s="26">
        <v>0.23200000000000001</v>
      </c>
      <c r="AE19" s="19">
        <f t="shared" si="5"/>
        <v>928</v>
      </c>
      <c r="AF19" s="22">
        <v>0.3</v>
      </c>
      <c r="AG19" s="19">
        <f t="shared" si="6"/>
        <v>1500</v>
      </c>
      <c r="AH19" s="21">
        <v>1</v>
      </c>
      <c r="AI19" s="21">
        <v>1</v>
      </c>
      <c r="AJ19" s="19">
        <v>4000</v>
      </c>
      <c r="AK19" s="19">
        <v>5000</v>
      </c>
      <c r="AL19" s="26">
        <v>0.23200000000000001</v>
      </c>
      <c r="AM19" s="19">
        <f t="shared" si="7"/>
        <v>928</v>
      </c>
      <c r="AN19" s="22">
        <v>0.3</v>
      </c>
      <c r="AO19" s="19">
        <f t="shared" si="8"/>
        <v>1500</v>
      </c>
      <c r="AP19" s="21">
        <v>1</v>
      </c>
      <c r="AQ19" s="21">
        <v>1</v>
      </c>
      <c r="AR19" s="19">
        <v>4000</v>
      </c>
      <c r="AS19" s="19">
        <v>5000</v>
      </c>
      <c r="AT19" s="26">
        <v>0.23200000000000001</v>
      </c>
      <c r="AU19" s="19">
        <f t="shared" si="9"/>
        <v>928</v>
      </c>
      <c r="AV19" s="22">
        <v>0.3</v>
      </c>
      <c r="AW19" s="19">
        <f t="shared" si="10"/>
        <v>1500</v>
      </c>
      <c r="AX19" s="21">
        <v>1</v>
      </c>
      <c r="AY19" s="21">
        <v>1</v>
      </c>
      <c r="AZ19" s="19">
        <v>4000</v>
      </c>
      <c r="BA19" s="19">
        <v>5000</v>
      </c>
      <c r="BB19" s="26">
        <v>0.23200000000000001</v>
      </c>
      <c r="BC19" s="19">
        <f t="shared" si="11"/>
        <v>928</v>
      </c>
      <c r="BD19" s="22">
        <v>0.3</v>
      </c>
      <c r="BE19" s="19">
        <f t="shared" si="12"/>
        <v>1500</v>
      </c>
      <c r="BF19" s="21"/>
      <c r="BG19" s="21"/>
      <c r="BH19" s="19">
        <v>4000</v>
      </c>
      <c r="BI19" s="19">
        <v>5000</v>
      </c>
      <c r="BJ19" s="26">
        <v>0.23200000000000001</v>
      </c>
      <c r="BK19" s="19">
        <f t="shared" si="13"/>
        <v>928</v>
      </c>
      <c r="BL19" s="22">
        <v>0.3</v>
      </c>
      <c r="BM19" s="19">
        <f t="shared" si="14"/>
        <v>1500</v>
      </c>
      <c r="BN19" s="21">
        <v>1</v>
      </c>
      <c r="BO19" s="21">
        <v>1</v>
      </c>
      <c r="BP19" s="19">
        <v>4000</v>
      </c>
      <c r="BQ19" s="19">
        <v>5000</v>
      </c>
      <c r="BR19" s="26">
        <v>0.23200000000000001</v>
      </c>
      <c r="BS19" s="19">
        <f t="shared" si="15"/>
        <v>928</v>
      </c>
      <c r="BT19" s="22">
        <v>0.3</v>
      </c>
      <c r="BU19" s="19">
        <f t="shared" si="16"/>
        <v>1500</v>
      </c>
      <c r="BV19" s="21"/>
      <c r="BW19" s="21"/>
      <c r="BX19" s="19">
        <v>4000</v>
      </c>
      <c r="BY19" s="19">
        <v>5000</v>
      </c>
      <c r="BZ19" s="26">
        <v>0.23200000000000001</v>
      </c>
      <c r="CA19" s="19">
        <f t="shared" si="17"/>
        <v>928</v>
      </c>
      <c r="CB19" s="22">
        <v>0.3</v>
      </c>
      <c r="CC19" s="19">
        <f t="shared" si="18"/>
        <v>1500</v>
      </c>
      <c r="CD19" s="21"/>
      <c r="CE19" s="21"/>
      <c r="CF19" s="19">
        <v>4000</v>
      </c>
      <c r="CG19" s="19">
        <v>5000</v>
      </c>
      <c r="CH19" s="26">
        <v>0.23200000000000001</v>
      </c>
      <c r="CI19" s="19">
        <f t="shared" si="19"/>
        <v>928</v>
      </c>
      <c r="CJ19" s="22">
        <v>0.3</v>
      </c>
      <c r="CK19" s="25">
        <f t="shared" si="20"/>
        <v>1500</v>
      </c>
      <c r="CL19" s="21">
        <v>1</v>
      </c>
      <c r="CM19" s="21">
        <v>1</v>
      </c>
      <c r="CN19" s="19">
        <v>4000</v>
      </c>
      <c r="CO19" s="19">
        <v>5000</v>
      </c>
      <c r="CP19" s="26">
        <v>0.23200000000000001</v>
      </c>
      <c r="CQ19" s="25">
        <f t="shared" si="21"/>
        <v>928</v>
      </c>
      <c r="CR19" s="22">
        <v>0.3</v>
      </c>
      <c r="CS19" s="25">
        <f t="shared" si="22"/>
        <v>1500</v>
      </c>
      <c r="CT19" s="21"/>
      <c r="CU19" s="21"/>
      <c r="CV19" s="19">
        <v>4000</v>
      </c>
      <c r="CW19" s="19">
        <v>5000</v>
      </c>
      <c r="CX19" s="26">
        <v>0.23200000000000001</v>
      </c>
      <c r="CY19" s="25">
        <f t="shared" si="23"/>
        <v>928</v>
      </c>
      <c r="CZ19" s="22">
        <v>0.3</v>
      </c>
      <c r="DA19" s="19">
        <f t="shared" si="24"/>
        <v>1500</v>
      </c>
      <c r="DB19" s="21">
        <v>1</v>
      </c>
      <c r="DC19" s="21">
        <v>1</v>
      </c>
      <c r="DD19" s="19">
        <f t="shared" si="25"/>
        <v>48000</v>
      </c>
      <c r="DE19" s="19">
        <f t="shared" si="26"/>
        <v>10208.232</v>
      </c>
      <c r="DF19" s="22">
        <f t="shared" si="27"/>
        <v>0.21267149999999999</v>
      </c>
      <c r="DG19" s="19">
        <f t="shared" si="28"/>
        <v>60000</v>
      </c>
      <c r="DH19" s="19">
        <f t="shared" si="29"/>
        <v>18000</v>
      </c>
      <c r="DI19" s="26">
        <f t="shared" si="30"/>
        <v>0.3</v>
      </c>
      <c r="DJ19" s="27">
        <f t="shared" si="31"/>
        <v>7</v>
      </c>
      <c r="DK19" s="27">
        <f t="shared" si="32"/>
        <v>7</v>
      </c>
      <c r="DL19" s="23" t="s">
        <v>154</v>
      </c>
      <c r="DM19" s="19">
        <v>100000</v>
      </c>
      <c r="DN19" s="19"/>
      <c r="DO19" s="19"/>
      <c r="DP19" s="24">
        <f t="shared" si="33"/>
        <v>0.48</v>
      </c>
      <c r="DQ19" s="28"/>
    </row>
    <row r="20" spans="1:122">
      <c r="A20" s="3" t="s">
        <v>131</v>
      </c>
      <c r="B20" s="3" t="s">
        <v>155</v>
      </c>
      <c r="C20" s="19">
        <v>24333</v>
      </c>
      <c r="D20" s="19">
        <v>19800</v>
      </c>
      <c r="E20" s="19">
        <v>55678</v>
      </c>
      <c r="F20" s="19">
        <v>86400</v>
      </c>
      <c r="G20" s="19">
        <v>175600</v>
      </c>
      <c r="H20" s="19">
        <v>201200</v>
      </c>
      <c r="I20" s="19">
        <v>221600</v>
      </c>
      <c r="J20" s="19">
        <v>143400</v>
      </c>
      <c r="K20" s="30">
        <f t="shared" si="0"/>
        <v>191200</v>
      </c>
      <c r="L20" s="19">
        <v>6000</v>
      </c>
      <c r="M20" s="19">
        <v>10000</v>
      </c>
      <c r="N20" s="29">
        <v>0.67</v>
      </c>
      <c r="O20" s="25">
        <f t="shared" si="1"/>
        <v>4020.0000000000005</v>
      </c>
      <c r="P20" s="22">
        <v>0.7</v>
      </c>
      <c r="Q20" s="19">
        <f t="shared" si="2"/>
        <v>7000</v>
      </c>
      <c r="R20" s="20">
        <v>2</v>
      </c>
      <c r="S20" s="20">
        <v>2</v>
      </c>
      <c r="T20" s="19">
        <v>10500</v>
      </c>
      <c r="U20" s="19">
        <v>15000</v>
      </c>
      <c r="V20" s="22">
        <v>0.67</v>
      </c>
      <c r="W20" s="19">
        <f t="shared" si="3"/>
        <v>7035</v>
      </c>
      <c r="X20" s="22">
        <v>0.7</v>
      </c>
      <c r="Y20" s="19">
        <f t="shared" si="4"/>
        <v>10500</v>
      </c>
      <c r="Z20" s="21">
        <v>4</v>
      </c>
      <c r="AA20" s="21">
        <v>4</v>
      </c>
      <c r="AB20" s="19">
        <v>10000</v>
      </c>
      <c r="AC20" s="19">
        <v>15000</v>
      </c>
      <c r="AD20" s="22">
        <v>0.67</v>
      </c>
      <c r="AE20" s="19">
        <f t="shared" si="5"/>
        <v>6700</v>
      </c>
      <c r="AF20" s="22">
        <v>0.7</v>
      </c>
      <c r="AG20" s="19">
        <f t="shared" si="6"/>
        <v>10500</v>
      </c>
      <c r="AH20" s="21">
        <v>4</v>
      </c>
      <c r="AI20" s="21">
        <v>4</v>
      </c>
      <c r="AJ20" s="19">
        <v>10000</v>
      </c>
      <c r="AK20" s="19">
        <v>15000</v>
      </c>
      <c r="AL20" s="22">
        <v>0.67</v>
      </c>
      <c r="AM20" s="19">
        <f t="shared" si="7"/>
        <v>6700</v>
      </c>
      <c r="AN20" s="22">
        <v>0.7</v>
      </c>
      <c r="AO20" s="19">
        <f t="shared" si="8"/>
        <v>10500</v>
      </c>
      <c r="AP20" s="21">
        <v>4</v>
      </c>
      <c r="AQ20" s="21">
        <v>4</v>
      </c>
      <c r="AR20" s="19">
        <v>10000</v>
      </c>
      <c r="AS20" s="19">
        <v>15000</v>
      </c>
      <c r="AT20" s="22">
        <v>0.67</v>
      </c>
      <c r="AU20" s="19">
        <f t="shared" si="9"/>
        <v>6700</v>
      </c>
      <c r="AV20" s="22">
        <v>0.7</v>
      </c>
      <c r="AW20" s="19">
        <f t="shared" si="10"/>
        <v>10500</v>
      </c>
      <c r="AX20" s="21">
        <v>4</v>
      </c>
      <c r="AY20" s="21">
        <v>4</v>
      </c>
      <c r="AZ20" s="19">
        <v>10000</v>
      </c>
      <c r="BA20" s="19">
        <v>15000</v>
      </c>
      <c r="BB20" s="22">
        <v>0.67</v>
      </c>
      <c r="BC20" s="19">
        <f t="shared" si="11"/>
        <v>6700</v>
      </c>
      <c r="BD20" s="22">
        <v>0.7</v>
      </c>
      <c r="BE20" s="19">
        <f t="shared" si="12"/>
        <v>10500</v>
      </c>
      <c r="BF20" s="21">
        <v>4</v>
      </c>
      <c r="BG20" s="21">
        <v>4</v>
      </c>
      <c r="BH20" s="19"/>
      <c r="BI20" s="19"/>
      <c r="BJ20" s="22"/>
      <c r="BK20" s="19">
        <f t="shared" si="13"/>
        <v>0</v>
      </c>
      <c r="BL20" s="22"/>
      <c r="BM20" s="19">
        <f t="shared" si="14"/>
        <v>0</v>
      </c>
      <c r="BN20" s="21">
        <v>4</v>
      </c>
      <c r="BO20" s="21">
        <v>4</v>
      </c>
      <c r="BP20" s="19">
        <v>15000</v>
      </c>
      <c r="BQ20" s="19">
        <v>20000</v>
      </c>
      <c r="BR20" s="22">
        <v>0.67</v>
      </c>
      <c r="BS20" s="19">
        <f t="shared" si="15"/>
        <v>10050</v>
      </c>
      <c r="BT20" s="22">
        <v>0.7</v>
      </c>
      <c r="BU20" s="19">
        <f t="shared" si="16"/>
        <v>14000</v>
      </c>
      <c r="BV20" s="21">
        <v>4</v>
      </c>
      <c r="BW20" s="21">
        <v>4</v>
      </c>
      <c r="BX20" s="19">
        <v>25000</v>
      </c>
      <c r="BY20" s="19">
        <v>40000</v>
      </c>
      <c r="BZ20" s="22">
        <v>0.67</v>
      </c>
      <c r="CA20" s="19">
        <f t="shared" si="17"/>
        <v>16750</v>
      </c>
      <c r="CB20" s="22">
        <v>0.7</v>
      </c>
      <c r="CC20" s="19">
        <f t="shared" si="18"/>
        <v>28000</v>
      </c>
      <c r="CD20" s="21">
        <v>4</v>
      </c>
      <c r="CE20" s="21">
        <v>4</v>
      </c>
      <c r="CF20" s="19">
        <v>75000</v>
      </c>
      <c r="CG20" s="19">
        <v>125000</v>
      </c>
      <c r="CH20" s="22">
        <v>0.79</v>
      </c>
      <c r="CI20" s="19">
        <f t="shared" si="19"/>
        <v>59250</v>
      </c>
      <c r="CJ20" s="22">
        <v>0.79</v>
      </c>
      <c r="CK20" s="25">
        <f t="shared" si="20"/>
        <v>98750</v>
      </c>
      <c r="CL20" s="21">
        <v>4</v>
      </c>
      <c r="CM20" s="21">
        <v>4</v>
      </c>
      <c r="CN20" s="19">
        <v>97000</v>
      </c>
      <c r="CO20" s="19">
        <v>147000</v>
      </c>
      <c r="CP20" s="22">
        <v>0.76300000000000001</v>
      </c>
      <c r="CQ20" s="25">
        <f t="shared" si="21"/>
        <v>74011</v>
      </c>
      <c r="CR20" s="22">
        <v>0.76300000000000001</v>
      </c>
      <c r="CS20" s="25">
        <f t="shared" si="22"/>
        <v>112161</v>
      </c>
      <c r="CT20" s="21">
        <v>4</v>
      </c>
      <c r="CU20" s="21">
        <v>4</v>
      </c>
      <c r="CV20" s="19">
        <v>75000</v>
      </c>
      <c r="CW20" s="19">
        <v>125000</v>
      </c>
      <c r="CX20" s="22">
        <v>0.79</v>
      </c>
      <c r="CY20" s="25">
        <f t="shared" si="23"/>
        <v>59250</v>
      </c>
      <c r="CZ20" s="22">
        <v>0.79</v>
      </c>
      <c r="DA20" s="19">
        <f t="shared" si="24"/>
        <v>98750</v>
      </c>
      <c r="DB20" s="21">
        <v>4</v>
      </c>
      <c r="DC20" s="21">
        <v>4</v>
      </c>
      <c r="DD20" s="19">
        <f t="shared" si="25"/>
        <v>343500</v>
      </c>
      <c r="DE20" s="19">
        <f t="shared" si="26"/>
        <v>257166</v>
      </c>
      <c r="DF20" s="22">
        <f t="shared" si="27"/>
        <v>0.74866375545851527</v>
      </c>
      <c r="DG20" s="19">
        <f t="shared" si="28"/>
        <v>542000</v>
      </c>
      <c r="DH20" s="19">
        <f t="shared" si="29"/>
        <v>411161</v>
      </c>
      <c r="DI20" s="26">
        <f t="shared" si="30"/>
        <v>0.75859963099631</v>
      </c>
      <c r="DJ20" s="27">
        <f t="shared" si="31"/>
        <v>46</v>
      </c>
      <c r="DK20" s="27">
        <f t="shared" si="32"/>
        <v>46</v>
      </c>
      <c r="DL20" s="23" t="s">
        <v>156</v>
      </c>
      <c r="DM20" s="19">
        <v>1600000</v>
      </c>
      <c r="DN20" s="19">
        <v>100000</v>
      </c>
      <c r="DO20" s="19">
        <v>700000</v>
      </c>
      <c r="DP20" s="24">
        <f t="shared" si="33"/>
        <v>0.2146875</v>
      </c>
      <c r="DQ20" s="28">
        <v>151000</v>
      </c>
      <c r="DR20" t="s">
        <v>157</v>
      </c>
    </row>
    <row r="21" spans="1:122">
      <c r="A21" s="3" t="s">
        <v>131</v>
      </c>
      <c r="B21" s="3" t="s">
        <v>158</v>
      </c>
      <c r="C21" s="19">
        <v>12300</v>
      </c>
      <c r="D21" s="19">
        <v>12600</v>
      </c>
      <c r="E21" s="19">
        <v>16800</v>
      </c>
      <c r="F21" s="19">
        <v>21000</v>
      </c>
      <c r="G21" s="19">
        <v>105600</v>
      </c>
      <c r="H21" s="19">
        <v>167800</v>
      </c>
      <c r="I21" s="19">
        <v>99800</v>
      </c>
      <c r="J21" s="19">
        <v>67500</v>
      </c>
      <c r="K21" s="30">
        <f t="shared" si="0"/>
        <v>90000</v>
      </c>
      <c r="L21" s="19">
        <v>14167</v>
      </c>
      <c r="M21" s="19">
        <v>18000</v>
      </c>
      <c r="N21" s="29">
        <v>0.48399999999999999</v>
      </c>
      <c r="O21" s="25">
        <f t="shared" si="1"/>
        <v>6856.8279999999995</v>
      </c>
      <c r="P21" s="22">
        <v>0.55000000000000004</v>
      </c>
      <c r="Q21" s="19">
        <f t="shared" si="2"/>
        <v>9900</v>
      </c>
      <c r="R21" s="20">
        <v>1</v>
      </c>
      <c r="S21" s="20">
        <v>1</v>
      </c>
      <c r="T21" s="19">
        <v>14167</v>
      </c>
      <c r="U21" s="19">
        <v>18000</v>
      </c>
      <c r="V21" s="29">
        <v>0.48399999999999999</v>
      </c>
      <c r="W21" s="19">
        <f t="shared" si="3"/>
        <v>6856.8279999999995</v>
      </c>
      <c r="X21" s="22">
        <v>0.55000000000000004</v>
      </c>
      <c r="Y21" s="19">
        <f t="shared" si="4"/>
        <v>9900</v>
      </c>
      <c r="Z21" s="21">
        <v>1</v>
      </c>
      <c r="AA21" s="21">
        <v>1</v>
      </c>
      <c r="AB21" s="19">
        <v>14167</v>
      </c>
      <c r="AC21" s="19">
        <v>18000</v>
      </c>
      <c r="AD21" s="29">
        <v>0.48399999999999999</v>
      </c>
      <c r="AE21" s="19">
        <f t="shared" si="5"/>
        <v>6856.8279999999995</v>
      </c>
      <c r="AF21" s="22">
        <v>0.55000000000000004</v>
      </c>
      <c r="AG21" s="19">
        <f t="shared" si="6"/>
        <v>9900</v>
      </c>
      <c r="AH21" s="21"/>
      <c r="AI21" s="21"/>
      <c r="AJ21" s="19">
        <v>14167</v>
      </c>
      <c r="AK21" s="19">
        <v>18000</v>
      </c>
      <c r="AL21" s="29">
        <v>0.48399999999999999</v>
      </c>
      <c r="AM21" s="19">
        <f t="shared" si="7"/>
        <v>6856.8279999999995</v>
      </c>
      <c r="AN21" s="22">
        <v>0.55000000000000004</v>
      </c>
      <c r="AO21" s="19">
        <f t="shared" si="8"/>
        <v>9900</v>
      </c>
      <c r="AP21" s="21">
        <v>1</v>
      </c>
      <c r="AQ21" s="21">
        <v>1</v>
      </c>
      <c r="AR21" s="19">
        <v>14167</v>
      </c>
      <c r="AS21" s="19">
        <v>18000</v>
      </c>
      <c r="AT21" s="29">
        <v>0.48399999999999999</v>
      </c>
      <c r="AU21" s="19">
        <f t="shared" si="9"/>
        <v>6856.8279999999995</v>
      </c>
      <c r="AV21" s="22">
        <v>0.55000000000000004</v>
      </c>
      <c r="AW21" s="19">
        <f t="shared" si="10"/>
        <v>9900</v>
      </c>
      <c r="AX21" s="21"/>
      <c r="AY21" s="21"/>
      <c r="AZ21" s="19">
        <v>14167</v>
      </c>
      <c r="BA21" s="19">
        <v>18000</v>
      </c>
      <c r="BB21" s="29">
        <v>0.48399999999999999</v>
      </c>
      <c r="BC21" s="19">
        <f t="shared" si="11"/>
        <v>6856.8279999999995</v>
      </c>
      <c r="BD21" s="22">
        <v>0.55000000000000004</v>
      </c>
      <c r="BE21" s="19">
        <f t="shared" si="12"/>
        <v>9900</v>
      </c>
      <c r="BF21" s="21">
        <v>1</v>
      </c>
      <c r="BG21" s="21">
        <v>1</v>
      </c>
      <c r="BH21" s="19">
        <v>14167</v>
      </c>
      <c r="BI21" s="19">
        <v>18000</v>
      </c>
      <c r="BJ21" s="29">
        <v>0.48399999999999999</v>
      </c>
      <c r="BK21" s="19">
        <f t="shared" si="13"/>
        <v>6856.8279999999995</v>
      </c>
      <c r="BL21" s="22">
        <v>0.55000000000000004</v>
      </c>
      <c r="BM21" s="19">
        <f t="shared" si="14"/>
        <v>9900</v>
      </c>
      <c r="BN21" s="21"/>
      <c r="BO21" s="21"/>
      <c r="BP21" s="19">
        <v>14167</v>
      </c>
      <c r="BQ21" s="19">
        <v>18000</v>
      </c>
      <c r="BR21" s="29">
        <v>0.48399999999999999</v>
      </c>
      <c r="BS21" s="19">
        <f t="shared" si="15"/>
        <v>6856.8279999999995</v>
      </c>
      <c r="BT21" s="22">
        <v>0.55000000000000004</v>
      </c>
      <c r="BU21" s="19">
        <f t="shared" si="16"/>
        <v>9900</v>
      </c>
      <c r="BV21" s="21">
        <v>1</v>
      </c>
      <c r="BW21" s="21">
        <v>1</v>
      </c>
      <c r="BX21" s="19">
        <v>14167</v>
      </c>
      <c r="BY21" s="19">
        <v>18000</v>
      </c>
      <c r="BZ21" s="29">
        <v>0.48399999999999999</v>
      </c>
      <c r="CA21" s="19">
        <f t="shared" si="17"/>
        <v>6856.8279999999995</v>
      </c>
      <c r="CB21" s="22">
        <v>0.55000000000000004</v>
      </c>
      <c r="CC21" s="19">
        <f t="shared" si="18"/>
        <v>9900</v>
      </c>
      <c r="CD21" s="21"/>
      <c r="CE21" s="21"/>
      <c r="CF21" s="19">
        <v>14167</v>
      </c>
      <c r="CG21" s="19">
        <v>18000</v>
      </c>
      <c r="CH21" s="29">
        <v>0.48399999999999999</v>
      </c>
      <c r="CI21" s="19">
        <f t="shared" si="19"/>
        <v>6856.8279999999995</v>
      </c>
      <c r="CJ21" s="22">
        <v>0.55000000000000004</v>
      </c>
      <c r="CK21" s="25">
        <f t="shared" si="20"/>
        <v>9900</v>
      </c>
      <c r="CL21" s="21"/>
      <c r="CM21" s="21"/>
      <c r="CN21" s="19">
        <v>14167</v>
      </c>
      <c r="CO21" s="19">
        <v>18000</v>
      </c>
      <c r="CP21" s="29">
        <v>0.48399999999999999</v>
      </c>
      <c r="CQ21" s="25">
        <f t="shared" si="21"/>
        <v>6856.8279999999995</v>
      </c>
      <c r="CR21" s="22">
        <v>0.55000000000000004</v>
      </c>
      <c r="CS21" s="25">
        <f t="shared" si="22"/>
        <v>9900</v>
      </c>
      <c r="CT21" s="21"/>
      <c r="CU21" s="21"/>
      <c r="CV21" s="19">
        <v>14167</v>
      </c>
      <c r="CW21" s="19">
        <v>18000</v>
      </c>
      <c r="CX21" s="29">
        <v>0.48399999999999999</v>
      </c>
      <c r="CY21" s="25">
        <f t="shared" si="23"/>
        <v>6856.8279999999995</v>
      </c>
      <c r="CZ21" s="22">
        <v>0.55000000000000004</v>
      </c>
      <c r="DA21" s="19">
        <f t="shared" si="24"/>
        <v>9900</v>
      </c>
      <c r="DB21" s="21"/>
      <c r="DC21" s="21"/>
      <c r="DD21" s="19">
        <f t="shared" si="25"/>
        <v>170004</v>
      </c>
      <c r="DE21" s="19">
        <f t="shared" si="26"/>
        <v>75425.59199999999</v>
      </c>
      <c r="DF21" s="22">
        <f t="shared" si="27"/>
        <v>0.4436695136585021</v>
      </c>
      <c r="DG21" s="19">
        <f t="shared" si="28"/>
        <v>216000</v>
      </c>
      <c r="DH21" s="19">
        <f t="shared" si="29"/>
        <v>118800</v>
      </c>
      <c r="DI21" s="26">
        <f t="shared" si="30"/>
        <v>0.55000000000000004</v>
      </c>
      <c r="DJ21" s="27">
        <f t="shared" si="31"/>
        <v>5</v>
      </c>
      <c r="DK21" s="27">
        <f t="shared" si="32"/>
        <v>5</v>
      </c>
      <c r="DL21" s="23" t="s">
        <v>159</v>
      </c>
      <c r="DM21" s="19">
        <v>500000</v>
      </c>
      <c r="DN21" s="19">
        <v>50000</v>
      </c>
      <c r="DO21" s="19">
        <v>350000</v>
      </c>
      <c r="DP21" s="24">
        <f t="shared" si="33"/>
        <v>0.34000799999999998</v>
      </c>
      <c r="DQ21" s="28"/>
    </row>
    <row r="22" spans="1:122">
      <c r="A22" s="3" t="s">
        <v>123</v>
      </c>
      <c r="B22" s="3" t="s">
        <v>160</v>
      </c>
      <c r="C22" s="19">
        <v>88000</v>
      </c>
      <c r="D22" s="19">
        <v>197600</v>
      </c>
      <c r="E22" s="19">
        <v>145700</v>
      </c>
      <c r="F22" s="19">
        <v>166000</v>
      </c>
      <c r="G22" s="19">
        <v>201000</v>
      </c>
      <c r="H22" s="19">
        <v>200000</v>
      </c>
      <c r="I22" s="19">
        <v>235680</v>
      </c>
      <c r="J22" s="19">
        <v>187000</v>
      </c>
      <c r="K22" s="30">
        <f t="shared" si="0"/>
        <v>249333.33333333331</v>
      </c>
      <c r="L22" s="19">
        <v>10000</v>
      </c>
      <c r="M22" s="19">
        <v>30000</v>
      </c>
      <c r="N22" s="29">
        <v>0.34</v>
      </c>
      <c r="O22" s="25">
        <f t="shared" si="1"/>
        <v>3400.0000000000005</v>
      </c>
      <c r="P22" s="22">
        <v>0.46</v>
      </c>
      <c r="Q22" s="19">
        <f t="shared" si="2"/>
        <v>13800</v>
      </c>
      <c r="R22" s="20">
        <v>2</v>
      </c>
      <c r="S22" s="20">
        <v>2</v>
      </c>
      <c r="T22" s="19">
        <v>10000</v>
      </c>
      <c r="U22" s="19">
        <v>30000</v>
      </c>
      <c r="V22" s="22">
        <v>0.34</v>
      </c>
      <c r="W22" s="19">
        <f t="shared" si="3"/>
        <v>3400.0000000000005</v>
      </c>
      <c r="X22" s="22">
        <v>0.46</v>
      </c>
      <c r="Y22" s="19">
        <f t="shared" si="4"/>
        <v>13800</v>
      </c>
      <c r="Z22" s="21">
        <v>2</v>
      </c>
      <c r="AA22" s="21">
        <v>2</v>
      </c>
      <c r="AB22" s="19">
        <v>26400</v>
      </c>
      <c r="AC22" s="19">
        <v>30000</v>
      </c>
      <c r="AD22" s="22">
        <v>0.34</v>
      </c>
      <c r="AE22" s="19">
        <f t="shared" si="5"/>
        <v>8976</v>
      </c>
      <c r="AF22" s="22">
        <v>0.46</v>
      </c>
      <c r="AG22" s="19">
        <f t="shared" si="6"/>
        <v>13800</v>
      </c>
      <c r="AH22" s="21">
        <v>2</v>
      </c>
      <c r="AI22" s="21">
        <v>2</v>
      </c>
      <c r="AJ22" s="19">
        <v>26400</v>
      </c>
      <c r="AK22" s="19">
        <v>30000</v>
      </c>
      <c r="AL22" s="22">
        <v>0.34</v>
      </c>
      <c r="AM22" s="19">
        <f t="shared" si="7"/>
        <v>8976</v>
      </c>
      <c r="AN22" s="22">
        <v>0.46</v>
      </c>
      <c r="AO22" s="19">
        <f t="shared" si="8"/>
        <v>13800</v>
      </c>
      <c r="AP22" s="21">
        <v>2</v>
      </c>
      <c r="AQ22" s="21">
        <v>2</v>
      </c>
      <c r="AR22" s="19">
        <v>35000</v>
      </c>
      <c r="AS22" s="19">
        <v>40000</v>
      </c>
      <c r="AT22" s="22">
        <v>0.34</v>
      </c>
      <c r="AU22" s="19">
        <f t="shared" si="9"/>
        <v>11900</v>
      </c>
      <c r="AV22" s="22">
        <v>0.46</v>
      </c>
      <c r="AW22" s="19">
        <f t="shared" si="10"/>
        <v>18400</v>
      </c>
      <c r="AX22" s="21">
        <v>2</v>
      </c>
      <c r="AY22" s="21">
        <v>2</v>
      </c>
      <c r="AZ22" s="19">
        <v>50000</v>
      </c>
      <c r="BA22" s="19">
        <v>60000</v>
      </c>
      <c r="BB22" s="22">
        <v>0.34</v>
      </c>
      <c r="BC22" s="19">
        <f t="shared" si="11"/>
        <v>17000</v>
      </c>
      <c r="BD22" s="22">
        <v>0.46</v>
      </c>
      <c r="BE22" s="19">
        <f t="shared" si="12"/>
        <v>27600</v>
      </c>
      <c r="BF22" s="21">
        <v>2</v>
      </c>
      <c r="BG22" s="21">
        <v>2</v>
      </c>
      <c r="BH22" s="19">
        <v>50000</v>
      </c>
      <c r="BI22" s="19">
        <v>60000</v>
      </c>
      <c r="BJ22" s="22">
        <v>0.34</v>
      </c>
      <c r="BK22" s="19">
        <f t="shared" si="13"/>
        <v>17000</v>
      </c>
      <c r="BL22" s="22">
        <v>0.46</v>
      </c>
      <c r="BM22" s="19">
        <f t="shared" si="14"/>
        <v>27600</v>
      </c>
      <c r="BN22" s="21">
        <v>2</v>
      </c>
      <c r="BO22" s="21">
        <v>2</v>
      </c>
      <c r="BP22" s="19">
        <v>50000</v>
      </c>
      <c r="BQ22" s="19">
        <v>60000</v>
      </c>
      <c r="BR22" s="22">
        <v>0.34</v>
      </c>
      <c r="BS22" s="19">
        <f t="shared" si="15"/>
        <v>17000</v>
      </c>
      <c r="BT22" s="22">
        <v>0.46</v>
      </c>
      <c r="BU22" s="19">
        <f t="shared" si="16"/>
        <v>27600</v>
      </c>
      <c r="BV22" s="21">
        <v>2</v>
      </c>
      <c r="BW22" s="21">
        <v>2</v>
      </c>
      <c r="BX22" s="19">
        <v>50000</v>
      </c>
      <c r="BY22" s="19">
        <v>60000</v>
      </c>
      <c r="BZ22" s="22">
        <v>0.34</v>
      </c>
      <c r="CA22" s="19">
        <f t="shared" si="17"/>
        <v>17000</v>
      </c>
      <c r="CB22" s="22">
        <v>0.46</v>
      </c>
      <c r="CC22" s="19">
        <f t="shared" si="18"/>
        <v>27600</v>
      </c>
      <c r="CD22" s="21">
        <v>2</v>
      </c>
      <c r="CE22" s="21">
        <v>2</v>
      </c>
      <c r="CF22" s="19">
        <v>25000</v>
      </c>
      <c r="CG22" s="19">
        <v>25000</v>
      </c>
      <c r="CH22" s="22">
        <v>0.34</v>
      </c>
      <c r="CI22" s="19">
        <f t="shared" si="19"/>
        <v>8500</v>
      </c>
      <c r="CJ22" s="22">
        <v>0.46</v>
      </c>
      <c r="CK22" s="25">
        <f t="shared" si="20"/>
        <v>11500</v>
      </c>
      <c r="CL22" s="21">
        <v>2</v>
      </c>
      <c r="CM22" s="21">
        <v>2</v>
      </c>
      <c r="CN22" s="19">
        <v>25000</v>
      </c>
      <c r="CO22" s="19">
        <v>25000</v>
      </c>
      <c r="CP22" s="22">
        <v>0.34</v>
      </c>
      <c r="CQ22" s="25">
        <f t="shared" si="21"/>
        <v>8500</v>
      </c>
      <c r="CR22" s="22">
        <v>0.46</v>
      </c>
      <c r="CS22" s="25">
        <f t="shared" si="22"/>
        <v>11500</v>
      </c>
      <c r="CT22" s="21">
        <v>2</v>
      </c>
      <c r="CU22" s="21">
        <v>2</v>
      </c>
      <c r="CV22" s="19"/>
      <c r="CW22" s="19"/>
      <c r="CX22" s="22"/>
      <c r="CY22" s="25">
        <f t="shared" si="23"/>
        <v>0</v>
      </c>
      <c r="CZ22" s="22"/>
      <c r="DA22" s="19">
        <f t="shared" si="24"/>
        <v>0</v>
      </c>
      <c r="DB22" s="21"/>
      <c r="DC22" s="21"/>
      <c r="DD22" s="19">
        <f t="shared" si="25"/>
        <v>357800</v>
      </c>
      <c r="DE22" s="19">
        <f t="shared" si="26"/>
        <v>104652.34</v>
      </c>
      <c r="DF22" s="22">
        <f t="shared" si="27"/>
        <v>0.29248837339295697</v>
      </c>
      <c r="DG22" s="19">
        <f t="shared" si="28"/>
        <v>450000</v>
      </c>
      <c r="DH22" s="19">
        <f t="shared" si="29"/>
        <v>207000</v>
      </c>
      <c r="DI22" s="26">
        <f t="shared" si="30"/>
        <v>0.46</v>
      </c>
      <c r="DJ22" s="27">
        <f t="shared" si="31"/>
        <v>22</v>
      </c>
      <c r="DK22" s="27">
        <f t="shared" si="32"/>
        <v>22</v>
      </c>
      <c r="DL22" s="23" t="s">
        <v>161</v>
      </c>
      <c r="DM22" s="19">
        <v>5600000</v>
      </c>
      <c r="DN22" s="19">
        <v>300000</v>
      </c>
      <c r="DO22" s="19">
        <v>2000000</v>
      </c>
      <c r="DP22" s="24">
        <f t="shared" si="33"/>
        <v>6.389285714285714E-2</v>
      </c>
      <c r="DQ22" s="28"/>
    </row>
    <row r="23" spans="1:122">
      <c r="A23" s="3" t="s">
        <v>134</v>
      </c>
      <c r="B23" s="3" t="s">
        <v>162</v>
      </c>
      <c r="C23" s="19"/>
      <c r="D23" s="19"/>
      <c r="E23" s="19"/>
      <c r="F23" s="19"/>
      <c r="G23" s="19"/>
      <c r="H23" s="19"/>
      <c r="I23" s="19"/>
      <c r="J23" s="19"/>
      <c r="K23" s="30">
        <f t="shared" si="0"/>
        <v>0</v>
      </c>
      <c r="L23" s="19"/>
      <c r="M23" s="19"/>
      <c r="N23" s="22"/>
      <c r="O23" s="25">
        <f t="shared" si="1"/>
        <v>0</v>
      </c>
      <c r="P23" s="22"/>
      <c r="Q23" s="19">
        <f t="shared" si="2"/>
        <v>0</v>
      </c>
      <c r="R23" s="20">
        <v>1</v>
      </c>
      <c r="S23" s="20">
        <v>1</v>
      </c>
      <c r="T23" s="19"/>
      <c r="U23" s="19"/>
      <c r="V23" s="22"/>
      <c r="W23" s="19">
        <f t="shared" si="3"/>
        <v>0</v>
      </c>
      <c r="X23" s="22"/>
      <c r="Y23" s="19">
        <f t="shared" si="4"/>
        <v>0</v>
      </c>
      <c r="Z23" s="21">
        <v>1</v>
      </c>
      <c r="AA23" s="21">
        <v>1</v>
      </c>
      <c r="AB23" s="19"/>
      <c r="AC23" s="19"/>
      <c r="AD23" s="22"/>
      <c r="AE23" s="19">
        <f t="shared" si="5"/>
        <v>0</v>
      </c>
      <c r="AF23" s="22"/>
      <c r="AG23" s="19">
        <f t="shared" si="6"/>
        <v>0</v>
      </c>
      <c r="AH23" s="21">
        <v>2</v>
      </c>
      <c r="AI23" s="21">
        <v>2</v>
      </c>
      <c r="AJ23" s="19"/>
      <c r="AK23" s="19"/>
      <c r="AL23" s="22"/>
      <c r="AM23" s="19">
        <f t="shared" si="7"/>
        <v>0</v>
      </c>
      <c r="AN23" s="22"/>
      <c r="AO23" s="19">
        <f t="shared" si="8"/>
        <v>0</v>
      </c>
      <c r="AP23" s="21">
        <v>2</v>
      </c>
      <c r="AQ23" s="21">
        <v>2</v>
      </c>
      <c r="AR23" s="19"/>
      <c r="AS23" s="19"/>
      <c r="AT23" s="22"/>
      <c r="AU23" s="19">
        <f t="shared" si="9"/>
        <v>0</v>
      </c>
      <c r="AV23" s="22"/>
      <c r="AW23" s="19">
        <f t="shared" si="10"/>
        <v>0</v>
      </c>
      <c r="AX23" s="21">
        <v>2</v>
      </c>
      <c r="AY23" s="21">
        <v>2</v>
      </c>
      <c r="AZ23" s="19"/>
      <c r="BA23" s="19"/>
      <c r="BB23" s="22"/>
      <c r="BC23" s="19">
        <f t="shared" si="11"/>
        <v>0</v>
      </c>
      <c r="BD23" s="22"/>
      <c r="BE23" s="19">
        <f t="shared" si="12"/>
        <v>0</v>
      </c>
      <c r="BF23" s="21">
        <v>2</v>
      </c>
      <c r="BG23" s="21">
        <v>2</v>
      </c>
      <c r="BH23" s="19">
        <v>1000</v>
      </c>
      <c r="BI23" s="19">
        <v>1000</v>
      </c>
      <c r="BJ23" s="22">
        <v>0.33</v>
      </c>
      <c r="BK23" s="19">
        <f t="shared" si="13"/>
        <v>330</v>
      </c>
      <c r="BL23" s="22">
        <v>0.35</v>
      </c>
      <c r="BM23" s="19">
        <f t="shared" si="14"/>
        <v>350</v>
      </c>
      <c r="BN23" s="21">
        <v>2</v>
      </c>
      <c r="BO23" s="21">
        <v>2</v>
      </c>
      <c r="BP23" s="19">
        <v>1000</v>
      </c>
      <c r="BQ23" s="19">
        <v>1000</v>
      </c>
      <c r="BR23" s="22">
        <v>0.33</v>
      </c>
      <c r="BS23" s="19">
        <f t="shared" si="15"/>
        <v>330</v>
      </c>
      <c r="BT23" s="22">
        <v>0.35</v>
      </c>
      <c r="BU23" s="19">
        <f t="shared" si="16"/>
        <v>350</v>
      </c>
      <c r="BV23" s="21">
        <v>2</v>
      </c>
      <c r="BW23" s="21">
        <v>2</v>
      </c>
      <c r="BX23" s="19">
        <v>1000</v>
      </c>
      <c r="BY23" s="19">
        <v>1000</v>
      </c>
      <c r="BZ23" s="22">
        <v>0.33</v>
      </c>
      <c r="CA23" s="19">
        <f t="shared" si="17"/>
        <v>330</v>
      </c>
      <c r="CB23" s="22">
        <v>0.35</v>
      </c>
      <c r="CC23" s="19">
        <f t="shared" si="18"/>
        <v>350</v>
      </c>
      <c r="CD23" s="21">
        <v>2</v>
      </c>
      <c r="CE23" s="21">
        <v>2</v>
      </c>
      <c r="CF23" s="19">
        <v>1000</v>
      </c>
      <c r="CG23" s="19">
        <v>1000</v>
      </c>
      <c r="CH23" s="22">
        <v>0.33</v>
      </c>
      <c r="CI23" s="19">
        <f t="shared" si="19"/>
        <v>330</v>
      </c>
      <c r="CJ23" s="22">
        <v>0.35</v>
      </c>
      <c r="CK23" s="25">
        <f t="shared" si="20"/>
        <v>350</v>
      </c>
      <c r="CL23" s="21">
        <v>2</v>
      </c>
      <c r="CM23" s="21">
        <v>2</v>
      </c>
      <c r="CN23" s="19">
        <v>1000</v>
      </c>
      <c r="CO23" s="19">
        <v>1000</v>
      </c>
      <c r="CP23" s="22">
        <v>0.33</v>
      </c>
      <c r="CQ23" s="25">
        <f t="shared" si="21"/>
        <v>330</v>
      </c>
      <c r="CR23" s="22">
        <v>0.35</v>
      </c>
      <c r="CS23" s="25">
        <f t="shared" si="22"/>
        <v>350</v>
      </c>
      <c r="CT23" s="21">
        <v>2</v>
      </c>
      <c r="CU23" s="21">
        <v>2</v>
      </c>
      <c r="CV23" s="19">
        <v>1000</v>
      </c>
      <c r="CW23" s="19">
        <v>1000</v>
      </c>
      <c r="CX23" s="22">
        <v>0.33</v>
      </c>
      <c r="CY23" s="25">
        <f t="shared" si="23"/>
        <v>330</v>
      </c>
      <c r="CZ23" s="22">
        <v>0.35</v>
      </c>
      <c r="DA23" s="19">
        <f t="shared" si="24"/>
        <v>350</v>
      </c>
      <c r="DB23" s="21">
        <v>2</v>
      </c>
      <c r="DC23" s="21">
        <v>2</v>
      </c>
      <c r="DD23" s="19">
        <f t="shared" si="25"/>
        <v>6000</v>
      </c>
      <c r="DE23" s="19">
        <f t="shared" si="26"/>
        <v>1650.33</v>
      </c>
      <c r="DF23" s="22">
        <f t="shared" si="27"/>
        <v>0.27505499999999999</v>
      </c>
      <c r="DG23" s="19">
        <f t="shared" si="28"/>
        <v>6000</v>
      </c>
      <c r="DH23" s="19">
        <f t="shared" si="29"/>
        <v>2100</v>
      </c>
      <c r="DI23" s="26">
        <f t="shared" si="30"/>
        <v>0.35</v>
      </c>
      <c r="DJ23" s="27">
        <f t="shared" si="31"/>
        <v>22</v>
      </c>
      <c r="DK23" s="27">
        <f t="shared" si="32"/>
        <v>22</v>
      </c>
      <c r="DL23" s="23" t="s">
        <v>145</v>
      </c>
      <c r="DM23" s="19">
        <v>200000</v>
      </c>
      <c r="DN23" s="19"/>
      <c r="DO23" s="19">
        <v>100000</v>
      </c>
      <c r="DP23" s="24">
        <f t="shared" si="33"/>
        <v>0.03</v>
      </c>
      <c r="DQ23" s="28"/>
    </row>
    <row r="24" spans="1:122">
      <c r="A24" s="3" t="s">
        <v>140</v>
      </c>
      <c r="B24" s="3" t="s">
        <v>163</v>
      </c>
      <c r="C24" s="19"/>
      <c r="D24" s="19"/>
      <c r="E24" s="19"/>
      <c r="F24" s="19"/>
      <c r="G24" s="19"/>
      <c r="H24" s="19"/>
      <c r="I24" s="19"/>
      <c r="J24" s="19"/>
      <c r="K24" s="30">
        <f t="shared" si="0"/>
        <v>0</v>
      </c>
      <c r="L24" s="19"/>
      <c r="M24" s="19"/>
      <c r="N24" s="22"/>
      <c r="O24" s="25">
        <f t="shared" si="1"/>
        <v>0</v>
      </c>
      <c r="P24" s="22"/>
      <c r="Q24" s="19">
        <f t="shared" si="2"/>
        <v>0</v>
      </c>
      <c r="R24" s="20">
        <v>1</v>
      </c>
      <c r="S24" s="20">
        <v>1</v>
      </c>
      <c r="T24" s="19"/>
      <c r="U24" s="19"/>
      <c r="V24" s="22"/>
      <c r="W24" s="19">
        <f t="shared" si="3"/>
        <v>0</v>
      </c>
      <c r="X24" s="22"/>
      <c r="Y24" s="19">
        <f t="shared" si="4"/>
        <v>0</v>
      </c>
      <c r="Z24" s="21"/>
      <c r="AA24" s="21">
        <v>1</v>
      </c>
      <c r="AB24" s="19"/>
      <c r="AC24" s="19"/>
      <c r="AD24" s="22"/>
      <c r="AE24" s="19">
        <f t="shared" si="5"/>
        <v>0</v>
      </c>
      <c r="AF24" s="22"/>
      <c r="AG24" s="19">
        <f t="shared" si="6"/>
        <v>0</v>
      </c>
      <c r="AH24" s="21"/>
      <c r="AI24" s="21">
        <v>1</v>
      </c>
      <c r="AJ24" s="19"/>
      <c r="AK24" s="19"/>
      <c r="AL24" s="22"/>
      <c r="AM24" s="19">
        <f t="shared" si="7"/>
        <v>0</v>
      </c>
      <c r="AN24" s="22"/>
      <c r="AO24" s="19">
        <f t="shared" si="8"/>
        <v>0</v>
      </c>
      <c r="AP24" s="21">
        <v>1</v>
      </c>
      <c r="AQ24" s="21">
        <v>1</v>
      </c>
      <c r="AR24" s="19"/>
      <c r="AS24" s="19"/>
      <c r="AT24" s="22"/>
      <c r="AU24" s="19">
        <f t="shared" si="9"/>
        <v>0</v>
      </c>
      <c r="AV24" s="22"/>
      <c r="AW24" s="19">
        <f t="shared" si="10"/>
        <v>0</v>
      </c>
      <c r="AX24" s="21"/>
      <c r="AY24" s="21">
        <v>1</v>
      </c>
      <c r="AZ24" s="19"/>
      <c r="BA24" s="19"/>
      <c r="BB24" s="22"/>
      <c r="BC24" s="19">
        <f t="shared" si="11"/>
        <v>0</v>
      </c>
      <c r="BD24" s="22"/>
      <c r="BE24" s="19">
        <f t="shared" si="12"/>
        <v>0</v>
      </c>
      <c r="BF24" s="21"/>
      <c r="BG24" s="21">
        <v>1</v>
      </c>
      <c r="BH24" s="19"/>
      <c r="BI24" s="19"/>
      <c r="BJ24" s="22"/>
      <c r="BK24" s="19">
        <f t="shared" si="13"/>
        <v>0</v>
      </c>
      <c r="BL24" s="22"/>
      <c r="BM24" s="19">
        <f t="shared" si="14"/>
        <v>0</v>
      </c>
      <c r="BN24" s="21">
        <v>1</v>
      </c>
      <c r="BO24" s="21">
        <v>1</v>
      </c>
      <c r="BP24" s="19"/>
      <c r="BQ24" s="19"/>
      <c r="BR24" s="22"/>
      <c r="BS24" s="19">
        <f t="shared" si="15"/>
        <v>0</v>
      </c>
      <c r="BT24" s="22"/>
      <c r="BU24" s="19">
        <f t="shared" si="16"/>
        <v>0</v>
      </c>
      <c r="BV24" s="21"/>
      <c r="BW24" s="21">
        <v>1</v>
      </c>
      <c r="BX24" s="19"/>
      <c r="BY24" s="19"/>
      <c r="BZ24" s="22"/>
      <c r="CA24" s="19">
        <f t="shared" si="17"/>
        <v>0</v>
      </c>
      <c r="CB24" s="22"/>
      <c r="CC24" s="19">
        <f t="shared" si="18"/>
        <v>0</v>
      </c>
      <c r="CD24" s="21"/>
      <c r="CE24" s="21">
        <v>1</v>
      </c>
      <c r="CF24" s="19"/>
      <c r="CG24" s="19"/>
      <c r="CH24" s="22"/>
      <c r="CI24" s="19">
        <f t="shared" si="19"/>
        <v>0</v>
      </c>
      <c r="CJ24" s="22"/>
      <c r="CK24" s="25">
        <f t="shared" si="20"/>
        <v>0</v>
      </c>
      <c r="CL24" s="21"/>
      <c r="CM24" s="21">
        <v>1</v>
      </c>
      <c r="CN24" s="19"/>
      <c r="CO24" s="19"/>
      <c r="CP24" s="22"/>
      <c r="CQ24" s="25">
        <f t="shared" si="21"/>
        <v>0</v>
      </c>
      <c r="CR24" s="22"/>
      <c r="CS24" s="25">
        <f t="shared" si="22"/>
        <v>0</v>
      </c>
      <c r="CT24" s="21"/>
      <c r="CU24" s="21">
        <v>1</v>
      </c>
      <c r="CV24" s="19"/>
      <c r="CW24" s="19"/>
      <c r="CX24" s="22"/>
      <c r="CY24" s="25">
        <f t="shared" si="23"/>
        <v>0</v>
      </c>
      <c r="CZ24" s="22"/>
      <c r="DA24" s="19">
        <f t="shared" si="24"/>
        <v>0</v>
      </c>
      <c r="DB24" s="21">
        <v>1</v>
      </c>
      <c r="DC24" s="21">
        <v>1</v>
      </c>
      <c r="DD24" s="19">
        <f t="shared" si="25"/>
        <v>0</v>
      </c>
      <c r="DE24" s="19">
        <f t="shared" si="26"/>
        <v>0</v>
      </c>
      <c r="DF24" s="22" t="e">
        <f t="shared" si="27"/>
        <v>#DIV/0!</v>
      </c>
      <c r="DG24" s="19">
        <f t="shared" si="28"/>
        <v>0</v>
      </c>
      <c r="DH24" s="19">
        <f t="shared" si="29"/>
        <v>0</v>
      </c>
      <c r="DI24" s="26" t="e">
        <f t="shared" si="30"/>
        <v>#DIV/0!</v>
      </c>
      <c r="DJ24" s="27">
        <f t="shared" si="31"/>
        <v>4</v>
      </c>
      <c r="DK24" s="27">
        <f t="shared" si="32"/>
        <v>12</v>
      </c>
      <c r="DL24" s="23" t="s">
        <v>164</v>
      </c>
      <c r="DM24" s="19">
        <v>100000</v>
      </c>
      <c r="DN24" s="19"/>
      <c r="DO24" s="19">
        <v>50000</v>
      </c>
      <c r="DP24" s="24">
        <f t="shared" si="33"/>
        <v>0</v>
      </c>
      <c r="DQ24" s="28"/>
    </row>
    <row r="25" spans="1:122">
      <c r="A25" s="3" t="s">
        <v>134</v>
      </c>
      <c r="B25" s="3" t="s">
        <v>165</v>
      </c>
      <c r="C25" s="19"/>
      <c r="D25" s="19"/>
      <c r="E25" s="19"/>
      <c r="F25" s="19"/>
      <c r="G25" s="19"/>
      <c r="H25" s="19"/>
      <c r="I25" s="19"/>
      <c r="J25" s="19"/>
      <c r="K25" s="30">
        <f t="shared" si="0"/>
        <v>0</v>
      </c>
      <c r="L25" s="19">
        <v>20000</v>
      </c>
      <c r="M25" s="19">
        <v>20000</v>
      </c>
      <c r="N25" s="22">
        <v>0.39500000000000002</v>
      </c>
      <c r="O25" s="25">
        <f t="shared" si="1"/>
        <v>7900</v>
      </c>
      <c r="P25" s="22">
        <v>0.45</v>
      </c>
      <c r="Q25" s="19">
        <f t="shared" si="2"/>
        <v>9000</v>
      </c>
      <c r="R25" s="20">
        <v>4</v>
      </c>
      <c r="S25" s="20">
        <v>4</v>
      </c>
      <c r="T25" s="19">
        <v>20000</v>
      </c>
      <c r="U25" s="19">
        <v>20000</v>
      </c>
      <c r="V25" s="22">
        <v>0.39500000000000002</v>
      </c>
      <c r="W25" s="19">
        <f t="shared" si="3"/>
        <v>7900</v>
      </c>
      <c r="X25" s="22">
        <v>0.45</v>
      </c>
      <c r="Y25" s="19">
        <f t="shared" si="4"/>
        <v>9000</v>
      </c>
      <c r="Z25" s="21">
        <v>4</v>
      </c>
      <c r="AA25" s="21">
        <v>4</v>
      </c>
      <c r="AB25" s="19">
        <v>20000</v>
      </c>
      <c r="AC25" s="19">
        <v>20000</v>
      </c>
      <c r="AD25" s="22">
        <v>0.39500000000000002</v>
      </c>
      <c r="AE25" s="19">
        <f t="shared" si="5"/>
        <v>7900</v>
      </c>
      <c r="AF25" s="22">
        <v>0.35</v>
      </c>
      <c r="AG25" s="19">
        <f t="shared" si="6"/>
        <v>7000</v>
      </c>
      <c r="AH25" s="21">
        <v>4</v>
      </c>
      <c r="AI25" s="21">
        <v>4</v>
      </c>
      <c r="AJ25" s="19">
        <v>20000</v>
      </c>
      <c r="AK25" s="19">
        <v>20000</v>
      </c>
      <c r="AL25" s="22">
        <v>0.39500000000000002</v>
      </c>
      <c r="AM25" s="19">
        <f t="shared" si="7"/>
        <v>7900</v>
      </c>
      <c r="AN25" s="22">
        <v>0.45</v>
      </c>
      <c r="AO25" s="19">
        <f t="shared" si="8"/>
        <v>9000</v>
      </c>
      <c r="AP25" s="21">
        <v>4</v>
      </c>
      <c r="AQ25" s="21">
        <v>4</v>
      </c>
      <c r="AR25" s="19">
        <v>20000</v>
      </c>
      <c r="AS25" s="19">
        <v>20000</v>
      </c>
      <c r="AT25" s="22">
        <v>0.39500000000000002</v>
      </c>
      <c r="AU25" s="19">
        <f t="shared" si="9"/>
        <v>7900</v>
      </c>
      <c r="AV25" s="22">
        <v>0.45</v>
      </c>
      <c r="AW25" s="19">
        <f t="shared" si="10"/>
        <v>9000</v>
      </c>
      <c r="AX25" s="21">
        <v>4</v>
      </c>
      <c r="AY25" s="21">
        <v>4</v>
      </c>
      <c r="AZ25" s="19">
        <v>20000</v>
      </c>
      <c r="BA25" s="19">
        <v>20000</v>
      </c>
      <c r="BB25" s="22">
        <v>0.39500000000000002</v>
      </c>
      <c r="BC25" s="19">
        <f t="shared" si="11"/>
        <v>7900</v>
      </c>
      <c r="BD25" s="22">
        <v>0.45</v>
      </c>
      <c r="BE25" s="19">
        <f t="shared" si="12"/>
        <v>9000</v>
      </c>
      <c r="BF25" s="21">
        <v>4</v>
      </c>
      <c r="BG25" s="21">
        <v>4</v>
      </c>
      <c r="BH25" s="19">
        <v>20000</v>
      </c>
      <c r="BI25" s="19">
        <v>20000</v>
      </c>
      <c r="BJ25" s="22">
        <v>0.39500000000000002</v>
      </c>
      <c r="BK25" s="19">
        <f t="shared" si="13"/>
        <v>7900</v>
      </c>
      <c r="BL25" s="22">
        <v>0.45</v>
      </c>
      <c r="BM25" s="19">
        <f t="shared" si="14"/>
        <v>9000</v>
      </c>
      <c r="BN25" s="21">
        <v>4</v>
      </c>
      <c r="BO25" s="21">
        <v>4</v>
      </c>
      <c r="BP25" s="19">
        <v>20000</v>
      </c>
      <c r="BQ25" s="19">
        <v>20000</v>
      </c>
      <c r="BR25" s="22">
        <v>0.39500000000000002</v>
      </c>
      <c r="BS25" s="19">
        <f t="shared" si="15"/>
        <v>7900</v>
      </c>
      <c r="BT25" s="22">
        <v>0.45</v>
      </c>
      <c r="BU25" s="19">
        <f t="shared" si="16"/>
        <v>9000</v>
      </c>
      <c r="BV25" s="21">
        <v>4</v>
      </c>
      <c r="BW25" s="21">
        <v>4</v>
      </c>
      <c r="BX25" s="19">
        <v>20000</v>
      </c>
      <c r="BY25" s="19">
        <v>20000</v>
      </c>
      <c r="BZ25" s="22">
        <v>0.39500000000000002</v>
      </c>
      <c r="CA25" s="19">
        <f t="shared" si="17"/>
        <v>7900</v>
      </c>
      <c r="CB25" s="22">
        <v>0.45</v>
      </c>
      <c r="CC25" s="19">
        <f t="shared" si="18"/>
        <v>9000</v>
      </c>
      <c r="CD25" s="21">
        <v>4</v>
      </c>
      <c r="CE25" s="21">
        <v>4</v>
      </c>
      <c r="CF25" s="19">
        <v>20000</v>
      </c>
      <c r="CG25" s="19">
        <v>20000</v>
      </c>
      <c r="CH25" s="22">
        <v>0.39500000000000002</v>
      </c>
      <c r="CI25" s="19">
        <f t="shared" si="19"/>
        <v>7900</v>
      </c>
      <c r="CJ25" s="22">
        <v>0.45</v>
      </c>
      <c r="CK25" s="25">
        <f t="shared" si="20"/>
        <v>9000</v>
      </c>
      <c r="CL25" s="21">
        <v>4</v>
      </c>
      <c r="CM25" s="21">
        <v>4</v>
      </c>
      <c r="CN25" s="19">
        <v>20000</v>
      </c>
      <c r="CO25" s="19">
        <v>20000</v>
      </c>
      <c r="CP25" s="22">
        <v>0.39500000000000002</v>
      </c>
      <c r="CQ25" s="25">
        <f t="shared" si="21"/>
        <v>7900</v>
      </c>
      <c r="CR25" s="22">
        <v>0.45</v>
      </c>
      <c r="CS25" s="25">
        <f t="shared" si="22"/>
        <v>9000</v>
      </c>
      <c r="CT25" s="21">
        <v>4</v>
      </c>
      <c r="CU25" s="21">
        <v>4</v>
      </c>
      <c r="CV25" s="19">
        <v>20000</v>
      </c>
      <c r="CW25" s="19">
        <v>20000</v>
      </c>
      <c r="CX25" s="22">
        <v>0.39500000000000002</v>
      </c>
      <c r="CY25" s="25">
        <f t="shared" si="23"/>
        <v>7900</v>
      </c>
      <c r="CZ25" s="22">
        <v>0.45</v>
      </c>
      <c r="DA25" s="19">
        <f t="shared" si="24"/>
        <v>9000</v>
      </c>
      <c r="DB25" s="21">
        <v>4</v>
      </c>
      <c r="DC25" s="21">
        <v>4</v>
      </c>
      <c r="DD25" s="19">
        <f t="shared" si="25"/>
        <v>240000</v>
      </c>
      <c r="DE25" s="19">
        <f t="shared" si="26"/>
        <v>86900.39499999999</v>
      </c>
      <c r="DF25" s="22">
        <f t="shared" si="27"/>
        <v>0.3620849791666666</v>
      </c>
      <c r="DG25" s="19">
        <f t="shared" si="28"/>
        <v>240000</v>
      </c>
      <c r="DH25" s="19">
        <f t="shared" si="29"/>
        <v>106000</v>
      </c>
      <c r="DI25" s="26">
        <f t="shared" si="30"/>
        <v>0.44166666666666665</v>
      </c>
      <c r="DJ25" s="27">
        <f t="shared" si="31"/>
        <v>48</v>
      </c>
      <c r="DK25" s="27">
        <f t="shared" si="32"/>
        <v>48</v>
      </c>
      <c r="DL25" s="23" t="s">
        <v>166</v>
      </c>
      <c r="DM25" s="19">
        <v>800000</v>
      </c>
      <c r="DN25" s="19">
        <v>50000</v>
      </c>
      <c r="DO25" s="19">
        <v>300000</v>
      </c>
      <c r="DP25" s="24">
        <f t="shared" si="33"/>
        <v>0.3</v>
      </c>
      <c r="DQ25" s="28">
        <v>96000</v>
      </c>
      <c r="DR25" t="s">
        <v>167</v>
      </c>
    </row>
    <row r="26" spans="1:122">
      <c r="A26" s="3"/>
      <c r="C26" s="19"/>
      <c r="D26" s="19"/>
      <c r="E26" s="19"/>
      <c r="F26" s="19"/>
      <c r="G26" s="19"/>
      <c r="H26" s="19"/>
      <c r="I26" s="19"/>
      <c r="J26" s="19"/>
      <c r="K26" s="30"/>
      <c r="L26" s="19"/>
      <c r="M26" s="19"/>
      <c r="N26" s="22"/>
      <c r="O26" s="39"/>
      <c r="P26" s="22"/>
      <c r="Q26" s="19"/>
      <c r="R26" s="20"/>
      <c r="S26" s="20"/>
      <c r="T26" s="19"/>
      <c r="U26" s="19"/>
      <c r="V26" s="22"/>
      <c r="W26" s="19"/>
      <c r="X26" s="22"/>
      <c r="Y26" s="19"/>
      <c r="Z26" s="21"/>
      <c r="AA26" s="21"/>
      <c r="AB26" s="19"/>
      <c r="AC26" s="19"/>
      <c r="AD26" s="22"/>
      <c r="AE26" s="19"/>
      <c r="AF26" s="22"/>
      <c r="AG26" s="19"/>
      <c r="AH26" s="21"/>
      <c r="AI26" s="21"/>
      <c r="AJ26" s="19"/>
      <c r="AK26" s="19"/>
      <c r="AL26" s="22"/>
      <c r="AM26" s="19"/>
      <c r="AN26" s="22"/>
      <c r="AO26" s="19"/>
      <c r="AP26" s="21"/>
      <c r="AQ26" s="21"/>
      <c r="AR26" s="19"/>
      <c r="AS26" s="19"/>
      <c r="AT26" s="22"/>
      <c r="AU26" s="19"/>
      <c r="AV26" s="22"/>
      <c r="AW26" s="19"/>
      <c r="AX26" s="21"/>
      <c r="AY26" s="21"/>
      <c r="AZ26" s="19"/>
      <c r="BA26" s="19"/>
      <c r="BB26" s="22"/>
      <c r="BC26" s="19"/>
      <c r="BD26" s="22"/>
      <c r="BE26" s="19"/>
      <c r="BF26" s="21"/>
      <c r="BG26" s="21"/>
      <c r="BH26" s="19"/>
      <c r="BI26" s="19"/>
      <c r="BJ26" s="22"/>
      <c r="BK26" s="19"/>
      <c r="BL26" s="22"/>
      <c r="BM26" s="19"/>
      <c r="BN26" s="21"/>
      <c r="BO26" s="21"/>
      <c r="BP26" s="19"/>
      <c r="BQ26" s="19"/>
      <c r="BR26" s="22"/>
      <c r="BS26" s="19"/>
      <c r="BT26" s="22"/>
      <c r="BU26" s="19"/>
      <c r="BV26" s="21"/>
      <c r="BW26" s="21"/>
      <c r="BX26" s="19"/>
      <c r="BY26" s="19"/>
      <c r="BZ26" s="22"/>
      <c r="CA26" s="19"/>
      <c r="CB26" s="22"/>
      <c r="CC26" s="19"/>
      <c r="CD26" s="21"/>
      <c r="CE26" s="21"/>
      <c r="CF26" s="19"/>
      <c r="CG26" s="19"/>
      <c r="CH26" s="22"/>
      <c r="CI26" s="19"/>
      <c r="CJ26" s="22"/>
      <c r="CK26" s="39"/>
      <c r="CL26" s="21"/>
      <c r="CM26" s="21"/>
      <c r="CN26" s="19"/>
      <c r="CO26" s="19"/>
      <c r="CP26" s="22"/>
      <c r="CQ26" s="39"/>
      <c r="CR26" s="22"/>
      <c r="CS26" s="39"/>
      <c r="CT26" s="21"/>
      <c r="CU26" s="21"/>
      <c r="CV26" s="19"/>
      <c r="CW26" s="19"/>
      <c r="CX26" s="22"/>
      <c r="CY26" s="39"/>
      <c r="CZ26" s="22"/>
      <c r="DA26" s="19"/>
      <c r="DB26" s="21"/>
      <c r="DC26" s="21"/>
      <c r="DD26" s="19"/>
      <c r="DE26" s="19"/>
      <c r="DF26" s="22" t="e">
        <f t="shared" ref="DF26:DF41" si="34">DE26/DD26</f>
        <v>#DIV/0!</v>
      </c>
      <c r="DG26" s="19"/>
      <c r="DH26" s="19"/>
      <c r="DI26" s="29" t="e">
        <f t="shared" ref="DI26:DI41" si="35">DH26/DG26</f>
        <v>#DIV/0!</v>
      </c>
      <c r="DJ26" s="27"/>
      <c r="DK26" s="27"/>
      <c r="DL26" s="23"/>
      <c r="DM26" s="19"/>
      <c r="DN26" s="19"/>
      <c r="DO26" s="19"/>
      <c r="DP26" s="24" t="e">
        <f t="shared" ref="DP26:DP41" si="36">DD26/DM26</f>
        <v>#DIV/0!</v>
      </c>
      <c r="DQ26" s="28"/>
    </row>
    <row r="27" spans="1:122">
      <c r="A27" s="3"/>
      <c r="C27" s="19"/>
      <c r="D27" s="19"/>
      <c r="E27" s="19"/>
      <c r="F27" s="19"/>
      <c r="G27" s="19"/>
      <c r="H27" s="19"/>
      <c r="I27" s="19"/>
      <c r="J27" s="19"/>
      <c r="K27" s="30"/>
      <c r="L27" s="19"/>
      <c r="M27" s="19"/>
      <c r="N27" s="22"/>
      <c r="O27" s="39"/>
      <c r="P27" s="22"/>
      <c r="Q27" s="19"/>
      <c r="R27" s="20"/>
      <c r="S27" s="20"/>
      <c r="T27" s="19"/>
      <c r="U27" s="19"/>
      <c r="V27" s="22"/>
      <c r="W27" s="19"/>
      <c r="X27" s="22"/>
      <c r="Y27" s="19"/>
      <c r="Z27" s="21"/>
      <c r="AA27" s="21"/>
      <c r="AB27" s="19"/>
      <c r="AC27" s="19"/>
      <c r="AD27" s="22"/>
      <c r="AE27" s="19"/>
      <c r="AF27" s="22"/>
      <c r="AG27" s="19"/>
      <c r="AH27" s="21"/>
      <c r="AI27" s="21"/>
      <c r="AJ27" s="19"/>
      <c r="AK27" s="19"/>
      <c r="AL27" s="22"/>
      <c r="AM27" s="19"/>
      <c r="AN27" s="22"/>
      <c r="AO27" s="19"/>
      <c r="AP27" s="21"/>
      <c r="AQ27" s="21"/>
      <c r="AR27" s="19"/>
      <c r="AS27" s="19"/>
      <c r="AT27" s="22"/>
      <c r="AU27" s="19"/>
      <c r="AV27" s="22"/>
      <c r="AW27" s="19"/>
      <c r="AX27" s="21"/>
      <c r="AY27" s="21"/>
      <c r="AZ27" s="19"/>
      <c r="BA27" s="19"/>
      <c r="BB27" s="22"/>
      <c r="BC27" s="19"/>
      <c r="BD27" s="22"/>
      <c r="BE27" s="19"/>
      <c r="BF27" s="21"/>
      <c r="BG27" s="21"/>
      <c r="BH27" s="19"/>
      <c r="BI27" s="19"/>
      <c r="BJ27" s="22"/>
      <c r="BK27" s="19"/>
      <c r="BL27" s="22"/>
      <c r="BM27" s="19"/>
      <c r="BN27" s="21"/>
      <c r="BO27" s="21"/>
      <c r="BP27" s="19"/>
      <c r="BQ27" s="19"/>
      <c r="BR27" s="22"/>
      <c r="BS27" s="19"/>
      <c r="BT27" s="22"/>
      <c r="BU27" s="19"/>
      <c r="BV27" s="21"/>
      <c r="BW27" s="21"/>
      <c r="BX27" s="19"/>
      <c r="BY27" s="19"/>
      <c r="BZ27" s="22"/>
      <c r="CA27" s="19"/>
      <c r="CB27" s="22"/>
      <c r="CC27" s="19"/>
      <c r="CD27" s="21"/>
      <c r="CE27" s="21"/>
      <c r="CF27" s="19"/>
      <c r="CG27" s="19"/>
      <c r="CH27" s="22"/>
      <c r="CI27" s="19"/>
      <c r="CJ27" s="22"/>
      <c r="CK27" s="39"/>
      <c r="CL27" s="21"/>
      <c r="CM27" s="21"/>
      <c r="CN27" s="19"/>
      <c r="CO27" s="19"/>
      <c r="CP27" s="22"/>
      <c r="CQ27" s="39"/>
      <c r="CR27" s="22"/>
      <c r="CS27" s="39"/>
      <c r="CT27" s="21"/>
      <c r="CU27" s="21"/>
      <c r="CV27" s="19"/>
      <c r="CW27" s="19"/>
      <c r="CX27" s="22"/>
      <c r="CY27" s="39"/>
      <c r="CZ27" s="22"/>
      <c r="DA27" s="19"/>
      <c r="DB27" s="21"/>
      <c r="DC27" s="21"/>
      <c r="DD27" s="19"/>
      <c r="DE27" s="19"/>
      <c r="DF27" s="22" t="e">
        <f t="shared" si="34"/>
        <v>#DIV/0!</v>
      </c>
      <c r="DG27" s="19"/>
      <c r="DH27" s="19"/>
      <c r="DI27" s="29" t="e">
        <f t="shared" si="35"/>
        <v>#DIV/0!</v>
      </c>
      <c r="DJ27" s="27"/>
      <c r="DK27" s="27"/>
      <c r="DL27" s="23"/>
      <c r="DM27" s="19"/>
      <c r="DN27" s="19"/>
      <c r="DO27" s="19"/>
      <c r="DP27" s="24" t="e">
        <f t="shared" si="36"/>
        <v>#DIV/0!</v>
      </c>
      <c r="DQ27" s="28"/>
    </row>
    <row r="28" spans="1:122">
      <c r="A28" s="3"/>
      <c r="C28" s="19"/>
      <c r="D28" s="19"/>
      <c r="E28" s="19"/>
      <c r="F28" s="19"/>
      <c r="G28" s="19"/>
      <c r="H28" s="19"/>
      <c r="I28" s="19"/>
      <c r="J28" s="19"/>
      <c r="K28" s="30"/>
      <c r="L28" s="19"/>
      <c r="M28" s="19"/>
      <c r="N28" s="22"/>
      <c r="O28" s="39"/>
      <c r="P28" s="22"/>
      <c r="Q28" s="19"/>
      <c r="R28" s="20"/>
      <c r="S28" s="20"/>
      <c r="T28" s="19"/>
      <c r="U28" s="19"/>
      <c r="V28" s="22"/>
      <c r="W28" s="19"/>
      <c r="X28" s="22"/>
      <c r="Y28" s="19"/>
      <c r="Z28" s="21"/>
      <c r="AA28" s="21"/>
      <c r="AB28" s="19"/>
      <c r="AC28" s="19"/>
      <c r="AD28" s="22"/>
      <c r="AE28" s="19"/>
      <c r="AF28" s="22"/>
      <c r="AG28" s="19"/>
      <c r="AH28" s="21"/>
      <c r="AI28" s="21"/>
      <c r="AJ28" s="19"/>
      <c r="AK28" s="19"/>
      <c r="AL28" s="22"/>
      <c r="AM28" s="19"/>
      <c r="AN28" s="22"/>
      <c r="AO28" s="19"/>
      <c r="AP28" s="21"/>
      <c r="AQ28" s="21"/>
      <c r="AR28" s="19"/>
      <c r="AS28" s="19"/>
      <c r="AT28" s="22"/>
      <c r="AU28" s="19"/>
      <c r="AV28" s="22"/>
      <c r="AW28" s="19"/>
      <c r="AX28" s="21"/>
      <c r="AY28" s="21"/>
      <c r="AZ28" s="19"/>
      <c r="BA28" s="19"/>
      <c r="BB28" s="22"/>
      <c r="BC28" s="19"/>
      <c r="BD28" s="22"/>
      <c r="BE28" s="19"/>
      <c r="BF28" s="21"/>
      <c r="BG28" s="21"/>
      <c r="BH28" s="19"/>
      <c r="BI28" s="19"/>
      <c r="BJ28" s="22"/>
      <c r="BK28" s="19"/>
      <c r="BL28" s="22"/>
      <c r="BM28" s="19"/>
      <c r="BN28" s="21"/>
      <c r="BO28" s="21"/>
      <c r="BP28" s="19"/>
      <c r="BQ28" s="19"/>
      <c r="BR28" s="22"/>
      <c r="BS28" s="19"/>
      <c r="BT28" s="22"/>
      <c r="BU28" s="19"/>
      <c r="BV28" s="21"/>
      <c r="BW28" s="21"/>
      <c r="BX28" s="19"/>
      <c r="BY28" s="19"/>
      <c r="BZ28" s="22"/>
      <c r="CA28" s="19"/>
      <c r="CB28" s="22"/>
      <c r="CC28" s="19"/>
      <c r="CD28" s="21"/>
      <c r="CE28" s="21"/>
      <c r="CF28" s="19"/>
      <c r="CG28" s="19"/>
      <c r="CH28" s="22"/>
      <c r="CI28" s="19"/>
      <c r="CJ28" s="22"/>
      <c r="CK28" s="39"/>
      <c r="CL28" s="21"/>
      <c r="CM28" s="21"/>
      <c r="CN28" s="19"/>
      <c r="CO28" s="19"/>
      <c r="CP28" s="22"/>
      <c r="CQ28" s="39"/>
      <c r="CR28" s="22"/>
      <c r="CS28" s="39"/>
      <c r="CT28" s="21"/>
      <c r="CU28" s="21"/>
      <c r="CV28" s="19"/>
      <c r="CW28" s="19"/>
      <c r="CX28" s="22"/>
      <c r="CY28" s="39"/>
      <c r="CZ28" s="22"/>
      <c r="DA28" s="19"/>
      <c r="DB28" s="21"/>
      <c r="DC28" s="21"/>
      <c r="DD28" s="19"/>
      <c r="DE28" s="19"/>
      <c r="DF28" s="22" t="e">
        <f t="shared" si="34"/>
        <v>#DIV/0!</v>
      </c>
      <c r="DG28" s="19"/>
      <c r="DH28" s="19"/>
      <c r="DI28" s="29" t="e">
        <f t="shared" si="35"/>
        <v>#DIV/0!</v>
      </c>
      <c r="DJ28" s="27"/>
      <c r="DK28" s="27"/>
      <c r="DL28" s="23"/>
      <c r="DM28" s="19"/>
      <c r="DN28" s="19"/>
      <c r="DO28" s="19"/>
      <c r="DP28" s="24" t="e">
        <f t="shared" si="36"/>
        <v>#DIV/0!</v>
      </c>
      <c r="DQ28" s="28"/>
    </row>
    <row r="29" spans="1:122">
      <c r="A29" s="3"/>
      <c r="C29" s="19"/>
      <c r="D29" s="19"/>
      <c r="E29" s="19"/>
      <c r="F29" s="19"/>
      <c r="G29" s="19"/>
      <c r="H29" s="19"/>
      <c r="I29" s="19"/>
      <c r="J29" s="19"/>
      <c r="K29" s="30"/>
      <c r="L29" s="19"/>
      <c r="M29" s="19"/>
      <c r="N29" s="22"/>
      <c r="O29" s="39"/>
      <c r="P29" s="22"/>
      <c r="Q29" s="19"/>
      <c r="R29" s="20"/>
      <c r="S29" s="20"/>
      <c r="T29" s="19"/>
      <c r="U29" s="19"/>
      <c r="V29" s="22"/>
      <c r="W29" s="19"/>
      <c r="X29" s="22"/>
      <c r="Y29" s="19"/>
      <c r="Z29" s="21"/>
      <c r="AA29" s="21"/>
      <c r="AB29" s="19"/>
      <c r="AC29" s="19"/>
      <c r="AD29" s="22"/>
      <c r="AE29" s="19"/>
      <c r="AF29" s="22"/>
      <c r="AG29" s="19"/>
      <c r="AH29" s="21"/>
      <c r="AI29" s="21"/>
      <c r="AJ29" s="19"/>
      <c r="AK29" s="19"/>
      <c r="AL29" s="22"/>
      <c r="AM29" s="19"/>
      <c r="AN29" s="22"/>
      <c r="AO29" s="19"/>
      <c r="AP29" s="21"/>
      <c r="AQ29" s="21"/>
      <c r="AR29" s="19"/>
      <c r="AS29" s="19"/>
      <c r="AT29" s="22"/>
      <c r="AU29" s="19"/>
      <c r="AV29" s="22"/>
      <c r="AW29" s="19"/>
      <c r="AX29" s="21"/>
      <c r="AY29" s="21"/>
      <c r="AZ29" s="19"/>
      <c r="BA29" s="19"/>
      <c r="BB29" s="22"/>
      <c r="BC29" s="19"/>
      <c r="BD29" s="22"/>
      <c r="BE29" s="19"/>
      <c r="BF29" s="21"/>
      <c r="BG29" s="21"/>
      <c r="BH29" s="19"/>
      <c r="BI29" s="19"/>
      <c r="BJ29" s="22"/>
      <c r="BK29" s="19"/>
      <c r="BL29" s="22"/>
      <c r="BM29" s="19"/>
      <c r="BN29" s="21"/>
      <c r="BO29" s="21"/>
      <c r="BP29" s="19"/>
      <c r="BQ29" s="19"/>
      <c r="BR29" s="22"/>
      <c r="BS29" s="19"/>
      <c r="BT29" s="22"/>
      <c r="BU29" s="19"/>
      <c r="BV29" s="21"/>
      <c r="BW29" s="21"/>
      <c r="BX29" s="19"/>
      <c r="BY29" s="19"/>
      <c r="BZ29" s="22"/>
      <c r="CA29" s="19"/>
      <c r="CB29" s="22"/>
      <c r="CC29" s="19"/>
      <c r="CD29" s="21"/>
      <c r="CE29" s="21"/>
      <c r="CF29" s="19"/>
      <c r="CG29" s="19"/>
      <c r="CH29" s="22"/>
      <c r="CI29" s="19"/>
      <c r="CJ29" s="22"/>
      <c r="CK29" s="39"/>
      <c r="CL29" s="21"/>
      <c r="CM29" s="21"/>
      <c r="CN29" s="19"/>
      <c r="CO29" s="19"/>
      <c r="CP29" s="22"/>
      <c r="CQ29" s="39"/>
      <c r="CR29" s="22"/>
      <c r="CS29" s="39"/>
      <c r="CT29" s="21"/>
      <c r="CU29" s="21"/>
      <c r="CV29" s="19"/>
      <c r="CW29" s="19"/>
      <c r="CX29" s="22"/>
      <c r="CY29" s="39"/>
      <c r="CZ29" s="22"/>
      <c r="DA29" s="19"/>
      <c r="DB29" s="21"/>
      <c r="DC29" s="21"/>
      <c r="DD29" s="19"/>
      <c r="DE29" s="19"/>
      <c r="DF29" s="22" t="e">
        <f t="shared" si="34"/>
        <v>#DIV/0!</v>
      </c>
      <c r="DG29" s="19"/>
      <c r="DH29" s="19"/>
      <c r="DI29" s="29" t="e">
        <f t="shared" si="35"/>
        <v>#DIV/0!</v>
      </c>
      <c r="DJ29" s="27"/>
      <c r="DK29" s="27"/>
      <c r="DL29" s="23"/>
      <c r="DM29" s="19"/>
      <c r="DN29" s="19"/>
      <c r="DO29" s="19"/>
      <c r="DP29" s="24" t="e">
        <f t="shared" si="36"/>
        <v>#DIV/0!</v>
      </c>
      <c r="DQ29" s="28"/>
    </row>
    <row r="30" spans="1:122">
      <c r="A30" s="3"/>
      <c r="C30" s="19"/>
      <c r="D30" s="19"/>
      <c r="E30" s="19"/>
      <c r="F30" s="19"/>
      <c r="G30" s="19"/>
      <c r="H30" s="19"/>
      <c r="I30" s="19"/>
      <c r="J30" s="19"/>
      <c r="K30" s="30"/>
      <c r="L30" s="19"/>
      <c r="M30" s="19"/>
      <c r="N30" s="22"/>
      <c r="O30" s="39"/>
      <c r="P30" s="22"/>
      <c r="Q30" s="19"/>
      <c r="R30" s="20"/>
      <c r="S30" s="20"/>
      <c r="T30" s="19"/>
      <c r="U30" s="19"/>
      <c r="V30" s="22"/>
      <c r="W30" s="19"/>
      <c r="X30" s="22"/>
      <c r="Y30" s="19"/>
      <c r="Z30" s="21"/>
      <c r="AA30" s="21"/>
      <c r="AB30" s="19"/>
      <c r="AC30" s="19"/>
      <c r="AD30" s="22"/>
      <c r="AE30" s="19"/>
      <c r="AF30" s="22"/>
      <c r="AG30" s="19"/>
      <c r="AH30" s="21"/>
      <c r="AI30" s="21"/>
      <c r="AJ30" s="19"/>
      <c r="AK30" s="19"/>
      <c r="AL30" s="22"/>
      <c r="AM30" s="19"/>
      <c r="AN30" s="22"/>
      <c r="AO30" s="19"/>
      <c r="AP30" s="21"/>
      <c r="AQ30" s="21"/>
      <c r="AR30" s="19"/>
      <c r="AS30" s="19"/>
      <c r="AT30" s="22"/>
      <c r="AU30" s="19"/>
      <c r="AV30" s="22"/>
      <c r="AW30" s="19"/>
      <c r="AX30" s="21"/>
      <c r="AY30" s="21"/>
      <c r="AZ30" s="19"/>
      <c r="BA30" s="19"/>
      <c r="BB30" s="22"/>
      <c r="BC30" s="19"/>
      <c r="BD30" s="22"/>
      <c r="BE30" s="19"/>
      <c r="BF30" s="21"/>
      <c r="BG30" s="21"/>
      <c r="BH30" s="19"/>
      <c r="BI30" s="19"/>
      <c r="BJ30" s="22"/>
      <c r="BK30" s="19"/>
      <c r="BL30" s="22"/>
      <c r="BM30" s="19"/>
      <c r="BN30" s="21"/>
      <c r="BO30" s="21"/>
      <c r="BP30" s="19"/>
      <c r="BQ30" s="19"/>
      <c r="BR30" s="22"/>
      <c r="BS30" s="19"/>
      <c r="BT30" s="22"/>
      <c r="BU30" s="19"/>
      <c r="BV30" s="21"/>
      <c r="BW30" s="21"/>
      <c r="BX30" s="19"/>
      <c r="BY30" s="19"/>
      <c r="BZ30" s="22"/>
      <c r="CA30" s="19"/>
      <c r="CB30" s="22"/>
      <c r="CC30" s="19"/>
      <c r="CD30" s="21"/>
      <c r="CE30" s="21"/>
      <c r="CF30" s="19"/>
      <c r="CG30" s="19"/>
      <c r="CH30" s="22"/>
      <c r="CI30" s="19"/>
      <c r="CJ30" s="22"/>
      <c r="CK30" s="39"/>
      <c r="CL30" s="21"/>
      <c r="CM30" s="21"/>
      <c r="CN30" s="19"/>
      <c r="CO30" s="19"/>
      <c r="CP30" s="22"/>
      <c r="CQ30" s="39"/>
      <c r="CR30" s="22"/>
      <c r="CS30" s="39"/>
      <c r="CT30" s="21"/>
      <c r="CU30" s="21"/>
      <c r="CV30" s="19"/>
      <c r="CW30" s="19"/>
      <c r="CX30" s="22"/>
      <c r="CY30" s="39"/>
      <c r="CZ30" s="22"/>
      <c r="DA30" s="19"/>
      <c r="DB30" s="21"/>
      <c r="DC30" s="21"/>
      <c r="DD30" s="19"/>
      <c r="DE30" s="19"/>
      <c r="DF30" s="22" t="e">
        <f t="shared" si="34"/>
        <v>#DIV/0!</v>
      </c>
      <c r="DG30" s="19"/>
      <c r="DH30" s="19"/>
      <c r="DI30" s="29" t="e">
        <f t="shared" si="35"/>
        <v>#DIV/0!</v>
      </c>
      <c r="DJ30" s="27"/>
      <c r="DK30" s="27"/>
      <c r="DL30" s="23"/>
      <c r="DM30" s="19"/>
      <c r="DN30" s="19"/>
      <c r="DO30" s="19"/>
      <c r="DP30" s="24" t="e">
        <f t="shared" si="36"/>
        <v>#DIV/0!</v>
      </c>
      <c r="DQ30" s="28"/>
    </row>
    <row r="31" spans="1:122">
      <c r="A31" s="3"/>
      <c r="C31" s="19"/>
      <c r="D31" s="19"/>
      <c r="E31" s="19"/>
      <c r="F31" s="19"/>
      <c r="G31" s="19"/>
      <c r="H31" s="19"/>
      <c r="I31" s="19"/>
      <c r="J31" s="19"/>
      <c r="K31" s="30"/>
      <c r="L31" s="19"/>
      <c r="M31" s="19"/>
      <c r="N31" s="22"/>
      <c r="O31" s="39"/>
      <c r="P31" s="22"/>
      <c r="Q31" s="19"/>
      <c r="R31" s="20"/>
      <c r="S31" s="20"/>
      <c r="T31" s="19"/>
      <c r="U31" s="19"/>
      <c r="V31" s="22"/>
      <c r="W31" s="19"/>
      <c r="X31" s="22"/>
      <c r="Y31" s="19"/>
      <c r="Z31" s="21"/>
      <c r="AA31" s="21"/>
      <c r="AB31" s="19"/>
      <c r="AC31" s="19"/>
      <c r="AD31" s="22"/>
      <c r="AE31" s="19"/>
      <c r="AF31" s="22"/>
      <c r="AG31" s="19"/>
      <c r="AH31" s="21"/>
      <c r="AI31" s="21"/>
      <c r="AJ31" s="19"/>
      <c r="AK31" s="19"/>
      <c r="AL31" s="22"/>
      <c r="AM31" s="19"/>
      <c r="AN31" s="22"/>
      <c r="AO31" s="19"/>
      <c r="AP31" s="21"/>
      <c r="AQ31" s="21"/>
      <c r="AR31" s="19"/>
      <c r="AS31" s="19"/>
      <c r="AT31" s="22"/>
      <c r="AU31" s="19"/>
      <c r="AV31" s="22"/>
      <c r="AW31" s="19"/>
      <c r="AX31" s="21"/>
      <c r="AY31" s="21"/>
      <c r="AZ31" s="19"/>
      <c r="BA31" s="19"/>
      <c r="BB31" s="22"/>
      <c r="BC31" s="19"/>
      <c r="BD31" s="22"/>
      <c r="BE31" s="19"/>
      <c r="BF31" s="21"/>
      <c r="BG31" s="21"/>
      <c r="BH31" s="19"/>
      <c r="BI31" s="19"/>
      <c r="BJ31" s="22"/>
      <c r="BK31" s="19"/>
      <c r="BL31" s="22"/>
      <c r="BM31" s="19"/>
      <c r="BN31" s="21"/>
      <c r="BO31" s="21"/>
      <c r="BP31" s="19"/>
      <c r="BQ31" s="19"/>
      <c r="BR31" s="22"/>
      <c r="BS31" s="19"/>
      <c r="BT31" s="22"/>
      <c r="BU31" s="19"/>
      <c r="BV31" s="21"/>
      <c r="BW31" s="21"/>
      <c r="BX31" s="19"/>
      <c r="BY31" s="19"/>
      <c r="BZ31" s="22"/>
      <c r="CA31" s="19"/>
      <c r="CB31" s="22"/>
      <c r="CC31" s="19"/>
      <c r="CD31" s="21"/>
      <c r="CE31" s="21"/>
      <c r="CF31" s="19"/>
      <c r="CG31" s="19"/>
      <c r="CH31" s="22"/>
      <c r="CI31" s="19"/>
      <c r="CJ31" s="22"/>
      <c r="CK31" s="39"/>
      <c r="CL31" s="21"/>
      <c r="CM31" s="21"/>
      <c r="CN31" s="19"/>
      <c r="CO31" s="19"/>
      <c r="CP31" s="22"/>
      <c r="CQ31" s="39"/>
      <c r="CR31" s="22"/>
      <c r="CS31" s="39"/>
      <c r="CT31" s="21"/>
      <c r="CU31" s="21"/>
      <c r="CV31" s="19"/>
      <c r="CW31" s="19"/>
      <c r="CX31" s="22"/>
      <c r="CY31" s="39"/>
      <c r="CZ31" s="22"/>
      <c r="DA31" s="19"/>
      <c r="DB31" s="21"/>
      <c r="DC31" s="21"/>
      <c r="DD31" s="19"/>
      <c r="DE31" s="19"/>
      <c r="DF31" s="22" t="e">
        <f t="shared" si="34"/>
        <v>#DIV/0!</v>
      </c>
      <c r="DG31" s="19"/>
      <c r="DH31" s="19"/>
      <c r="DI31" s="29" t="e">
        <f t="shared" si="35"/>
        <v>#DIV/0!</v>
      </c>
      <c r="DJ31" s="27"/>
      <c r="DK31" s="27"/>
      <c r="DL31" s="23"/>
      <c r="DM31" s="19"/>
      <c r="DN31" s="19"/>
      <c r="DO31" s="19"/>
      <c r="DP31" s="24" t="e">
        <f t="shared" si="36"/>
        <v>#DIV/0!</v>
      </c>
      <c r="DQ31" s="28"/>
    </row>
    <row r="32" spans="1:122">
      <c r="A32" s="3"/>
      <c r="C32" s="19"/>
      <c r="D32" s="19"/>
      <c r="E32" s="19"/>
      <c r="F32" s="19"/>
      <c r="G32" s="19"/>
      <c r="H32" s="19"/>
      <c r="I32" s="19"/>
      <c r="J32" s="19"/>
      <c r="K32" s="30"/>
      <c r="L32" s="19"/>
      <c r="M32" s="19"/>
      <c r="N32" s="22"/>
      <c r="O32" s="39"/>
      <c r="P32" s="22"/>
      <c r="Q32" s="19"/>
      <c r="R32" s="20"/>
      <c r="S32" s="20"/>
      <c r="T32" s="19"/>
      <c r="U32" s="19"/>
      <c r="V32" s="22"/>
      <c r="W32" s="19"/>
      <c r="X32" s="22"/>
      <c r="Y32" s="19"/>
      <c r="Z32" s="21"/>
      <c r="AA32" s="21"/>
      <c r="AB32" s="19"/>
      <c r="AC32" s="19"/>
      <c r="AD32" s="22"/>
      <c r="AE32" s="19"/>
      <c r="AF32" s="22"/>
      <c r="AG32" s="19"/>
      <c r="AH32" s="21"/>
      <c r="AI32" s="21"/>
      <c r="AJ32" s="19"/>
      <c r="AK32" s="19"/>
      <c r="AL32" s="22"/>
      <c r="AM32" s="19"/>
      <c r="AN32" s="22"/>
      <c r="AO32" s="19"/>
      <c r="AP32" s="21"/>
      <c r="AQ32" s="21"/>
      <c r="AR32" s="19"/>
      <c r="AS32" s="19"/>
      <c r="AT32" s="22"/>
      <c r="AU32" s="19"/>
      <c r="AV32" s="22"/>
      <c r="AW32" s="19"/>
      <c r="AX32" s="21"/>
      <c r="AY32" s="21"/>
      <c r="AZ32" s="19"/>
      <c r="BA32" s="19"/>
      <c r="BB32" s="22"/>
      <c r="BC32" s="19"/>
      <c r="BD32" s="22"/>
      <c r="BE32" s="19"/>
      <c r="BF32" s="21"/>
      <c r="BG32" s="21"/>
      <c r="BH32" s="19"/>
      <c r="BI32" s="19"/>
      <c r="BJ32" s="22"/>
      <c r="BK32" s="19"/>
      <c r="BL32" s="22"/>
      <c r="BM32" s="19"/>
      <c r="BN32" s="21"/>
      <c r="BO32" s="21"/>
      <c r="BP32" s="19"/>
      <c r="BQ32" s="19"/>
      <c r="BR32" s="22"/>
      <c r="BS32" s="19"/>
      <c r="BT32" s="22"/>
      <c r="BU32" s="19"/>
      <c r="BV32" s="21"/>
      <c r="BW32" s="21"/>
      <c r="BX32" s="19"/>
      <c r="BY32" s="19"/>
      <c r="BZ32" s="22"/>
      <c r="CA32" s="19"/>
      <c r="CB32" s="22"/>
      <c r="CC32" s="19"/>
      <c r="CD32" s="21"/>
      <c r="CE32" s="21"/>
      <c r="CF32" s="19"/>
      <c r="CG32" s="19"/>
      <c r="CH32" s="22"/>
      <c r="CI32" s="19"/>
      <c r="CJ32" s="22"/>
      <c r="CK32" s="39"/>
      <c r="CL32" s="21"/>
      <c r="CM32" s="21"/>
      <c r="CN32" s="19"/>
      <c r="CO32" s="19"/>
      <c r="CP32" s="22"/>
      <c r="CQ32" s="39"/>
      <c r="CR32" s="22"/>
      <c r="CS32" s="39"/>
      <c r="CT32" s="21"/>
      <c r="CU32" s="21"/>
      <c r="CV32" s="19"/>
      <c r="CW32" s="19"/>
      <c r="CX32" s="22"/>
      <c r="CY32" s="39"/>
      <c r="CZ32" s="22"/>
      <c r="DA32" s="19"/>
      <c r="DB32" s="21"/>
      <c r="DC32" s="21"/>
      <c r="DD32" s="19"/>
      <c r="DE32" s="19"/>
      <c r="DF32" s="22" t="e">
        <f t="shared" si="34"/>
        <v>#DIV/0!</v>
      </c>
      <c r="DG32" s="19"/>
      <c r="DH32" s="19"/>
      <c r="DI32" s="29" t="e">
        <f t="shared" si="35"/>
        <v>#DIV/0!</v>
      </c>
      <c r="DJ32" s="27"/>
      <c r="DK32" s="27"/>
      <c r="DL32" s="23"/>
      <c r="DM32" s="19"/>
      <c r="DN32" s="19"/>
      <c r="DO32" s="19"/>
      <c r="DP32" s="24" t="e">
        <f t="shared" si="36"/>
        <v>#DIV/0!</v>
      </c>
      <c r="DQ32" s="28"/>
    </row>
    <row r="33" spans="1:121">
      <c r="A33" s="3"/>
      <c r="C33" s="19"/>
      <c r="D33" s="19"/>
      <c r="E33" s="19"/>
      <c r="F33" s="19"/>
      <c r="G33" s="19"/>
      <c r="H33" s="19"/>
      <c r="I33" s="19"/>
      <c r="J33" s="19"/>
      <c r="K33" s="30"/>
      <c r="L33" s="19"/>
      <c r="M33" s="19"/>
      <c r="N33" s="22"/>
      <c r="O33" s="39"/>
      <c r="P33" s="22"/>
      <c r="Q33" s="19"/>
      <c r="R33" s="20"/>
      <c r="S33" s="20"/>
      <c r="T33" s="19"/>
      <c r="U33" s="19"/>
      <c r="V33" s="22"/>
      <c r="W33" s="19"/>
      <c r="X33" s="22"/>
      <c r="Y33" s="19"/>
      <c r="Z33" s="21"/>
      <c r="AA33" s="21"/>
      <c r="AB33" s="19"/>
      <c r="AC33" s="19"/>
      <c r="AD33" s="22"/>
      <c r="AE33" s="19"/>
      <c r="AF33" s="22"/>
      <c r="AG33" s="19"/>
      <c r="AH33" s="21"/>
      <c r="AI33" s="21"/>
      <c r="AJ33" s="19"/>
      <c r="AK33" s="19"/>
      <c r="AL33" s="22"/>
      <c r="AM33" s="19"/>
      <c r="AN33" s="22"/>
      <c r="AO33" s="19"/>
      <c r="AP33" s="21"/>
      <c r="AQ33" s="21"/>
      <c r="AR33" s="19"/>
      <c r="AS33" s="19"/>
      <c r="AT33" s="22"/>
      <c r="AU33" s="19"/>
      <c r="AV33" s="22"/>
      <c r="AW33" s="19"/>
      <c r="AX33" s="21"/>
      <c r="AY33" s="21"/>
      <c r="AZ33" s="19"/>
      <c r="BA33" s="19"/>
      <c r="BB33" s="22"/>
      <c r="BC33" s="19"/>
      <c r="BD33" s="22"/>
      <c r="BE33" s="19"/>
      <c r="BF33" s="21"/>
      <c r="BG33" s="21"/>
      <c r="BH33" s="19"/>
      <c r="BI33" s="19"/>
      <c r="BJ33" s="22"/>
      <c r="BK33" s="19"/>
      <c r="BL33" s="22"/>
      <c r="BM33" s="19"/>
      <c r="BN33" s="21"/>
      <c r="BO33" s="21"/>
      <c r="BP33" s="19"/>
      <c r="BQ33" s="19"/>
      <c r="BR33" s="22"/>
      <c r="BS33" s="19"/>
      <c r="BT33" s="22"/>
      <c r="BU33" s="19"/>
      <c r="BV33" s="21"/>
      <c r="BW33" s="21"/>
      <c r="BX33" s="19"/>
      <c r="BY33" s="19"/>
      <c r="BZ33" s="22"/>
      <c r="CA33" s="19"/>
      <c r="CB33" s="22"/>
      <c r="CC33" s="19"/>
      <c r="CD33" s="21"/>
      <c r="CE33" s="21"/>
      <c r="CF33" s="19"/>
      <c r="CG33" s="19"/>
      <c r="CH33" s="22"/>
      <c r="CI33" s="19"/>
      <c r="CJ33" s="22"/>
      <c r="CK33" s="39"/>
      <c r="CL33" s="21"/>
      <c r="CM33" s="21"/>
      <c r="CN33" s="19"/>
      <c r="CO33" s="19"/>
      <c r="CP33" s="22"/>
      <c r="CQ33" s="39"/>
      <c r="CR33" s="22"/>
      <c r="CS33" s="39"/>
      <c r="CT33" s="21"/>
      <c r="CU33" s="21"/>
      <c r="CV33" s="19"/>
      <c r="CW33" s="19"/>
      <c r="CX33" s="22"/>
      <c r="CY33" s="39"/>
      <c r="CZ33" s="22"/>
      <c r="DA33" s="19"/>
      <c r="DB33" s="21"/>
      <c r="DC33" s="21"/>
      <c r="DD33" s="19"/>
      <c r="DE33" s="19"/>
      <c r="DF33" s="22" t="e">
        <f t="shared" si="34"/>
        <v>#DIV/0!</v>
      </c>
      <c r="DG33" s="19"/>
      <c r="DH33" s="19"/>
      <c r="DI33" s="29" t="e">
        <f t="shared" si="35"/>
        <v>#DIV/0!</v>
      </c>
      <c r="DJ33" s="27"/>
      <c r="DK33" s="27"/>
      <c r="DL33" s="23"/>
      <c r="DM33" s="19"/>
      <c r="DN33" s="19"/>
      <c r="DO33" s="19"/>
      <c r="DP33" s="24" t="e">
        <f t="shared" si="36"/>
        <v>#DIV/0!</v>
      </c>
      <c r="DQ33" s="28"/>
    </row>
    <row r="34" spans="1:121">
      <c r="A34" s="3"/>
      <c r="C34" s="19"/>
      <c r="D34" s="19"/>
      <c r="E34" s="19"/>
      <c r="F34" s="19"/>
      <c r="G34" s="19"/>
      <c r="H34" s="19"/>
      <c r="I34" s="19"/>
      <c r="J34" s="19"/>
      <c r="K34" s="30"/>
      <c r="L34" s="19"/>
      <c r="M34" s="19"/>
      <c r="N34" s="22"/>
      <c r="O34" s="39"/>
      <c r="P34" s="22"/>
      <c r="Q34" s="19"/>
      <c r="R34" s="20"/>
      <c r="S34" s="20"/>
      <c r="T34" s="19"/>
      <c r="U34" s="19"/>
      <c r="V34" s="22"/>
      <c r="W34" s="19"/>
      <c r="X34" s="22"/>
      <c r="Y34" s="19"/>
      <c r="Z34" s="21"/>
      <c r="AA34" s="21"/>
      <c r="AB34" s="19"/>
      <c r="AC34" s="19"/>
      <c r="AD34" s="22"/>
      <c r="AE34" s="19"/>
      <c r="AF34" s="22"/>
      <c r="AG34" s="19"/>
      <c r="AH34" s="21"/>
      <c r="AI34" s="21"/>
      <c r="AJ34" s="19"/>
      <c r="AK34" s="19"/>
      <c r="AL34" s="22"/>
      <c r="AM34" s="19"/>
      <c r="AN34" s="22"/>
      <c r="AO34" s="19"/>
      <c r="AP34" s="21"/>
      <c r="AQ34" s="21"/>
      <c r="AR34" s="19"/>
      <c r="AS34" s="19"/>
      <c r="AT34" s="22"/>
      <c r="AU34" s="19"/>
      <c r="AV34" s="22"/>
      <c r="AW34" s="19"/>
      <c r="AX34" s="21"/>
      <c r="AY34" s="21"/>
      <c r="AZ34" s="19"/>
      <c r="BA34" s="19"/>
      <c r="BB34" s="22"/>
      <c r="BC34" s="19"/>
      <c r="BD34" s="22"/>
      <c r="BE34" s="19"/>
      <c r="BF34" s="21"/>
      <c r="BG34" s="21"/>
      <c r="BH34" s="19"/>
      <c r="BI34" s="19"/>
      <c r="BJ34" s="22"/>
      <c r="BK34" s="19"/>
      <c r="BL34" s="22"/>
      <c r="BM34" s="19"/>
      <c r="BN34" s="21"/>
      <c r="BO34" s="21"/>
      <c r="BP34" s="19"/>
      <c r="BQ34" s="19"/>
      <c r="BR34" s="22"/>
      <c r="BS34" s="19"/>
      <c r="BT34" s="22"/>
      <c r="BU34" s="19"/>
      <c r="BV34" s="21"/>
      <c r="BW34" s="21"/>
      <c r="BX34" s="19"/>
      <c r="BY34" s="19"/>
      <c r="BZ34" s="22"/>
      <c r="CA34" s="19"/>
      <c r="CB34" s="22"/>
      <c r="CC34" s="19"/>
      <c r="CD34" s="21"/>
      <c r="CE34" s="21"/>
      <c r="CF34" s="19"/>
      <c r="CG34" s="19"/>
      <c r="CH34" s="22"/>
      <c r="CI34" s="19"/>
      <c r="CJ34" s="22"/>
      <c r="CK34" s="39"/>
      <c r="CL34" s="21"/>
      <c r="CM34" s="21"/>
      <c r="CN34" s="19"/>
      <c r="CO34" s="19"/>
      <c r="CP34" s="22"/>
      <c r="CQ34" s="39"/>
      <c r="CR34" s="22"/>
      <c r="CS34" s="39"/>
      <c r="CT34" s="21"/>
      <c r="CU34" s="21"/>
      <c r="CV34" s="19"/>
      <c r="CW34" s="19"/>
      <c r="CX34" s="22"/>
      <c r="CY34" s="39"/>
      <c r="CZ34" s="22"/>
      <c r="DA34" s="19"/>
      <c r="DB34" s="21"/>
      <c r="DC34" s="21"/>
      <c r="DD34" s="19"/>
      <c r="DE34" s="19"/>
      <c r="DF34" s="22" t="e">
        <f t="shared" si="34"/>
        <v>#DIV/0!</v>
      </c>
      <c r="DG34" s="19"/>
      <c r="DH34" s="19"/>
      <c r="DI34" s="29" t="e">
        <f t="shared" si="35"/>
        <v>#DIV/0!</v>
      </c>
      <c r="DJ34" s="27"/>
      <c r="DK34" s="27"/>
      <c r="DL34" s="23"/>
      <c r="DM34" s="19"/>
      <c r="DN34" s="19"/>
      <c r="DO34" s="19"/>
      <c r="DP34" s="24" t="e">
        <f t="shared" si="36"/>
        <v>#DIV/0!</v>
      </c>
      <c r="DQ34" s="28"/>
    </row>
    <row r="35" spans="1:121">
      <c r="A35" s="3"/>
      <c r="C35" s="19"/>
      <c r="D35" s="19"/>
      <c r="E35" s="19"/>
      <c r="F35" s="19"/>
      <c r="G35" s="19"/>
      <c r="H35" s="19"/>
      <c r="I35" s="19"/>
      <c r="J35" s="19"/>
      <c r="K35" s="30"/>
      <c r="L35" s="19"/>
      <c r="M35" s="19"/>
      <c r="N35" s="22"/>
      <c r="O35" s="39"/>
      <c r="P35" s="22"/>
      <c r="Q35" s="19"/>
      <c r="R35" s="20"/>
      <c r="S35" s="20"/>
      <c r="T35" s="19"/>
      <c r="U35" s="19"/>
      <c r="V35" s="22"/>
      <c r="W35" s="19"/>
      <c r="X35" s="22"/>
      <c r="Y35" s="19"/>
      <c r="Z35" s="21"/>
      <c r="AA35" s="21"/>
      <c r="AB35" s="19"/>
      <c r="AC35" s="19"/>
      <c r="AD35" s="22"/>
      <c r="AE35" s="19"/>
      <c r="AF35" s="22"/>
      <c r="AG35" s="19"/>
      <c r="AH35" s="21"/>
      <c r="AI35" s="21"/>
      <c r="AJ35" s="19"/>
      <c r="AK35" s="19"/>
      <c r="AL35" s="22"/>
      <c r="AM35" s="19"/>
      <c r="AN35" s="22"/>
      <c r="AO35" s="19"/>
      <c r="AP35" s="21"/>
      <c r="AQ35" s="21"/>
      <c r="AR35" s="19"/>
      <c r="AS35" s="19"/>
      <c r="AT35" s="22"/>
      <c r="AU35" s="19"/>
      <c r="AV35" s="22"/>
      <c r="AW35" s="19"/>
      <c r="AX35" s="21"/>
      <c r="AY35" s="21"/>
      <c r="AZ35" s="19"/>
      <c r="BA35" s="19"/>
      <c r="BB35" s="22"/>
      <c r="BC35" s="19"/>
      <c r="BD35" s="22"/>
      <c r="BE35" s="19"/>
      <c r="BF35" s="21"/>
      <c r="BG35" s="21"/>
      <c r="BH35" s="19"/>
      <c r="BI35" s="19"/>
      <c r="BJ35" s="22"/>
      <c r="BK35" s="19"/>
      <c r="BL35" s="22"/>
      <c r="BM35" s="19"/>
      <c r="BN35" s="21"/>
      <c r="BO35" s="21"/>
      <c r="BP35" s="19"/>
      <c r="BQ35" s="19"/>
      <c r="BR35" s="22"/>
      <c r="BS35" s="19"/>
      <c r="BT35" s="22"/>
      <c r="BU35" s="19"/>
      <c r="BV35" s="21"/>
      <c r="BW35" s="21"/>
      <c r="BX35" s="19"/>
      <c r="BY35" s="19"/>
      <c r="BZ35" s="22"/>
      <c r="CA35" s="19"/>
      <c r="CB35" s="22"/>
      <c r="CC35" s="19"/>
      <c r="CD35" s="21"/>
      <c r="CE35" s="21"/>
      <c r="CF35" s="19"/>
      <c r="CG35" s="19"/>
      <c r="CH35" s="22"/>
      <c r="CI35" s="19"/>
      <c r="CJ35" s="22"/>
      <c r="CK35" s="39"/>
      <c r="CL35" s="21"/>
      <c r="CM35" s="21"/>
      <c r="CN35" s="19"/>
      <c r="CO35" s="19"/>
      <c r="CP35" s="22"/>
      <c r="CQ35" s="39"/>
      <c r="CR35" s="22"/>
      <c r="CS35" s="39"/>
      <c r="CT35" s="21"/>
      <c r="CU35" s="21"/>
      <c r="CV35" s="19"/>
      <c r="CW35" s="19"/>
      <c r="CX35" s="22"/>
      <c r="CY35" s="39"/>
      <c r="CZ35" s="22"/>
      <c r="DA35" s="19"/>
      <c r="DB35" s="21"/>
      <c r="DC35" s="21"/>
      <c r="DD35" s="19"/>
      <c r="DE35" s="19"/>
      <c r="DF35" s="22" t="e">
        <f t="shared" si="34"/>
        <v>#DIV/0!</v>
      </c>
      <c r="DG35" s="19"/>
      <c r="DH35" s="19"/>
      <c r="DI35" s="29" t="e">
        <f t="shared" si="35"/>
        <v>#DIV/0!</v>
      </c>
      <c r="DJ35" s="27"/>
      <c r="DK35" s="27"/>
      <c r="DL35" s="23"/>
      <c r="DM35" s="19"/>
      <c r="DN35" s="19"/>
      <c r="DO35" s="19"/>
      <c r="DP35" s="24" t="e">
        <f t="shared" si="36"/>
        <v>#DIV/0!</v>
      </c>
      <c r="DQ35" s="28"/>
    </row>
    <row r="36" spans="1:121">
      <c r="A36" s="3"/>
      <c r="C36" s="19"/>
      <c r="D36" s="19"/>
      <c r="E36" s="19"/>
      <c r="F36" s="19"/>
      <c r="G36" s="19"/>
      <c r="H36" s="19"/>
      <c r="I36" s="19"/>
      <c r="J36" s="19"/>
      <c r="K36" s="30"/>
      <c r="L36" s="19"/>
      <c r="M36" s="19"/>
      <c r="N36" s="22"/>
      <c r="O36" s="39"/>
      <c r="P36" s="22"/>
      <c r="Q36" s="19"/>
      <c r="R36" s="20"/>
      <c r="S36" s="20"/>
      <c r="T36" s="19"/>
      <c r="U36" s="19"/>
      <c r="V36" s="22"/>
      <c r="W36" s="19"/>
      <c r="X36" s="22"/>
      <c r="Y36" s="19"/>
      <c r="Z36" s="21"/>
      <c r="AA36" s="21"/>
      <c r="AB36" s="19"/>
      <c r="AC36" s="19"/>
      <c r="AD36" s="22"/>
      <c r="AE36" s="19"/>
      <c r="AF36" s="22"/>
      <c r="AG36" s="19"/>
      <c r="AH36" s="21"/>
      <c r="AI36" s="21"/>
      <c r="AJ36" s="19"/>
      <c r="AK36" s="19"/>
      <c r="AL36" s="22"/>
      <c r="AM36" s="19"/>
      <c r="AN36" s="22"/>
      <c r="AO36" s="19"/>
      <c r="AP36" s="21"/>
      <c r="AQ36" s="21"/>
      <c r="AR36" s="19"/>
      <c r="AS36" s="19"/>
      <c r="AT36" s="22"/>
      <c r="AU36" s="19"/>
      <c r="AV36" s="22"/>
      <c r="AW36" s="19"/>
      <c r="AX36" s="21"/>
      <c r="AY36" s="21"/>
      <c r="AZ36" s="19"/>
      <c r="BA36" s="19"/>
      <c r="BB36" s="22"/>
      <c r="BC36" s="19"/>
      <c r="BD36" s="22"/>
      <c r="BE36" s="19"/>
      <c r="BF36" s="21"/>
      <c r="BG36" s="21"/>
      <c r="BH36" s="19"/>
      <c r="BI36" s="19"/>
      <c r="BJ36" s="22"/>
      <c r="BK36" s="19"/>
      <c r="BL36" s="22"/>
      <c r="BM36" s="19"/>
      <c r="BN36" s="21"/>
      <c r="BO36" s="21"/>
      <c r="BP36" s="19"/>
      <c r="BQ36" s="19"/>
      <c r="BR36" s="22"/>
      <c r="BS36" s="19"/>
      <c r="BT36" s="22"/>
      <c r="BU36" s="19"/>
      <c r="BV36" s="21"/>
      <c r="BW36" s="21"/>
      <c r="BX36" s="19"/>
      <c r="BY36" s="19"/>
      <c r="BZ36" s="22"/>
      <c r="CA36" s="19"/>
      <c r="CB36" s="22"/>
      <c r="CC36" s="19"/>
      <c r="CD36" s="21"/>
      <c r="CE36" s="21"/>
      <c r="CF36" s="19"/>
      <c r="CG36" s="19"/>
      <c r="CH36" s="22"/>
      <c r="CI36" s="19"/>
      <c r="CJ36" s="22"/>
      <c r="CK36" s="39"/>
      <c r="CL36" s="21"/>
      <c r="CM36" s="21"/>
      <c r="CN36" s="19"/>
      <c r="CO36" s="19"/>
      <c r="CP36" s="22"/>
      <c r="CQ36" s="39"/>
      <c r="CR36" s="22"/>
      <c r="CS36" s="39"/>
      <c r="CT36" s="21"/>
      <c r="CU36" s="21"/>
      <c r="CV36" s="19"/>
      <c r="CW36" s="19"/>
      <c r="CX36" s="22"/>
      <c r="CY36" s="39"/>
      <c r="CZ36" s="22"/>
      <c r="DA36" s="19"/>
      <c r="DB36" s="21"/>
      <c r="DC36" s="21"/>
      <c r="DD36" s="19"/>
      <c r="DE36" s="19"/>
      <c r="DF36" s="22" t="e">
        <f t="shared" si="34"/>
        <v>#DIV/0!</v>
      </c>
      <c r="DG36" s="19"/>
      <c r="DH36" s="19"/>
      <c r="DI36" s="29" t="e">
        <f t="shared" si="35"/>
        <v>#DIV/0!</v>
      </c>
      <c r="DJ36" s="27"/>
      <c r="DK36" s="27"/>
      <c r="DL36" s="23"/>
      <c r="DM36" s="19"/>
      <c r="DN36" s="19"/>
      <c r="DO36" s="19"/>
      <c r="DP36" s="24" t="e">
        <f t="shared" si="36"/>
        <v>#DIV/0!</v>
      </c>
      <c r="DQ36" s="28"/>
    </row>
    <row r="37" spans="1:121">
      <c r="A37" s="3"/>
      <c r="C37" s="19"/>
      <c r="D37" s="19"/>
      <c r="E37" s="19"/>
      <c r="F37" s="19"/>
      <c r="G37" s="19"/>
      <c r="H37" s="19"/>
      <c r="I37" s="19"/>
      <c r="J37" s="19"/>
      <c r="K37" s="30"/>
      <c r="L37" s="19"/>
      <c r="M37" s="19"/>
      <c r="N37" s="22"/>
      <c r="O37" s="39"/>
      <c r="P37" s="22"/>
      <c r="Q37" s="19"/>
      <c r="R37" s="20"/>
      <c r="S37" s="20"/>
      <c r="T37" s="19"/>
      <c r="U37" s="19"/>
      <c r="V37" s="22"/>
      <c r="W37" s="19"/>
      <c r="X37" s="22"/>
      <c r="Y37" s="19"/>
      <c r="Z37" s="21"/>
      <c r="AA37" s="21"/>
      <c r="AB37" s="19"/>
      <c r="AC37" s="19"/>
      <c r="AD37" s="22"/>
      <c r="AE37" s="19"/>
      <c r="AF37" s="22"/>
      <c r="AG37" s="19"/>
      <c r="AH37" s="21"/>
      <c r="AI37" s="21"/>
      <c r="AJ37" s="19"/>
      <c r="AK37" s="19"/>
      <c r="AL37" s="22"/>
      <c r="AM37" s="19"/>
      <c r="AN37" s="22"/>
      <c r="AO37" s="19"/>
      <c r="AP37" s="21"/>
      <c r="AQ37" s="21"/>
      <c r="AR37" s="19"/>
      <c r="AS37" s="19"/>
      <c r="AT37" s="22"/>
      <c r="AU37" s="19"/>
      <c r="AV37" s="22"/>
      <c r="AW37" s="19"/>
      <c r="AX37" s="21"/>
      <c r="AY37" s="21"/>
      <c r="AZ37" s="19"/>
      <c r="BA37" s="19"/>
      <c r="BB37" s="22"/>
      <c r="BC37" s="19"/>
      <c r="BD37" s="22"/>
      <c r="BE37" s="19"/>
      <c r="BF37" s="21"/>
      <c r="BG37" s="21"/>
      <c r="BH37" s="19"/>
      <c r="BI37" s="19"/>
      <c r="BJ37" s="22"/>
      <c r="BK37" s="19"/>
      <c r="BL37" s="22"/>
      <c r="BM37" s="19"/>
      <c r="BN37" s="21"/>
      <c r="BO37" s="21"/>
      <c r="BP37" s="19"/>
      <c r="BQ37" s="19"/>
      <c r="BR37" s="22"/>
      <c r="BS37" s="19"/>
      <c r="BT37" s="22"/>
      <c r="BU37" s="19"/>
      <c r="BV37" s="21"/>
      <c r="BW37" s="21"/>
      <c r="BX37" s="19"/>
      <c r="BY37" s="19"/>
      <c r="BZ37" s="22"/>
      <c r="CA37" s="19"/>
      <c r="CB37" s="22"/>
      <c r="CC37" s="19"/>
      <c r="CD37" s="21"/>
      <c r="CE37" s="21"/>
      <c r="CF37" s="19"/>
      <c r="CG37" s="19"/>
      <c r="CH37" s="22"/>
      <c r="CI37" s="19"/>
      <c r="CJ37" s="22"/>
      <c r="CK37" s="39"/>
      <c r="CL37" s="21"/>
      <c r="CM37" s="21"/>
      <c r="CN37" s="19"/>
      <c r="CO37" s="19"/>
      <c r="CP37" s="22"/>
      <c r="CQ37" s="39"/>
      <c r="CR37" s="22"/>
      <c r="CS37" s="39"/>
      <c r="CT37" s="21"/>
      <c r="CU37" s="21"/>
      <c r="CV37" s="19"/>
      <c r="CW37" s="19"/>
      <c r="CX37" s="22"/>
      <c r="CY37" s="39"/>
      <c r="CZ37" s="22"/>
      <c r="DA37" s="19"/>
      <c r="DB37" s="21"/>
      <c r="DC37" s="21"/>
      <c r="DD37" s="19"/>
      <c r="DE37" s="19"/>
      <c r="DF37" s="22" t="e">
        <f t="shared" si="34"/>
        <v>#DIV/0!</v>
      </c>
      <c r="DG37" s="19"/>
      <c r="DH37" s="19"/>
      <c r="DI37" s="29" t="e">
        <f t="shared" si="35"/>
        <v>#DIV/0!</v>
      </c>
      <c r="DJ37" s="27"/>
      <c r="DK37" s="27"/>
      <c r="DL37" s="23"/>
      <c r="DM37" s="19"/>
      <c r="DN37" s="19"/>
      <c r="DO37" s="19"/>
      <c r="DP37" s="24" t="e">
        <f t="shared" si="36"/>
        <v>#DIV/0!</v>
      </c>
      <c r="DQ37" s="28"/>
    </row>
    <row r="38" spans="1:121">
      <c r="A38" s="3"/>
      <c r="C38" s="19"/>
      <c r="D38" s="19"/>
      <c r="E38" s="19"/>
      <c r="F38" s="19"/>
      <c r="G38" s="19"/>
      <c r="H38" s="19"/>
      <c r="I38" s="19"/>
      <c r="J38" s="19"/>
      <c r="K38" s="30"/>
      <c r="L38" s="19"/>
      <c r="M38" s="19"/>
      <c r="N38" s="22"/>
      <c r="O38" s="39"/>
      <c r="P38" s="22"/>
      <c r="Q38" s="19"/>
      <c r="R38" s="20"/>
      <c r="S38" s="20"/>
      <c r="T38" s="19"/>
      <c r="U38" s="19"/>
      <c r="V38" s="22"/>
      <c r="W38" s="19"/>
      <c r="X38" s="22"/>
      <c r="Y38" s="19"/>
      <c r="Z38" s="21"/>
      <c r="AA38" s="21"/>
      <c r="AB38" s="19"/>
      <c r="AC38" s="19"/>
      <c r="AD38" s="22"/>
      <c r="AE38" s="19"/>
      <c r="AF38" s="22"/>
      <c r="AG38" s="19"/>
      <c r="AH38" s="21"/>
      <c r="AI38" s="21"/>
      <c r="AJ38" s="19"/>
      <c r="AK38" s="19"/>
      <c r="AL38" s="22"/>
      <c r="AM38" s="19"/>
      <c r="AN38" s="22"/>
      <c r="AO38" s="19"/>
      <c r="AP38" s="21"/>
      <c r="AQ38" s="21"/>
      <c r="AR38" s="19"/>
      <c r="AS38" s="19"/>
      <c r="AT38" s="22"/>
      <c r="AU38" s="19"/>
      <c r="AV38" s="22"/>
      <c r="AW38" s="19"/>
      <c r="AX38" s="21"/>
      <c r="AY38" s="21"/>
      <c r="AZ38" s="19"/>
      <c r="BA38" s="19"/>
      <c r="BB38" s="22"/>
      <c r="BC38" s="19"/>
      <c r="BD38" s="22"/>
      <c r="BE38" s="19"/>
      <c r="BF38" s="21"/>
      <c r="BG38" s="21"/>
      <c r="BH38" s="19"/>
      <c r="BI38" s="19"/>
      <c r="BJ38" s="22"/>
      <c r="BK38" s="19"/>
      <c r="BL38" s="22"/>
      <c r="BM38" s="19"/>
      <c r="BN38" s="21"/>
      <c r="BO38" s="21"/>
      <c r="BP38" s="19"/>
      <c r="BQ38" s="19"/>
      <c r="BR38" s="22"/>
      <c r="BS38" s="19"/>
      <c r="BT38" s="22"/>
      <c r="BU38" s="19"/>
      <c r="BV38" s="21"/>
      <c r="BW38" s="21"/>
      <c r="BX38" s="19"/>
      <c r="BY38" s="19"/>
      <c r="BZ38" s="22"/>
      <c r="CA38" s="19"/>
      <c r="CB38" s="22"/>
      <c r="CC38" s="19"/>
      <c r="CD38" s="21"/>
      <c r="CE38" s="21"/>
      <c r="CF38" s="19"/>
      <c r="CG38" s="19"/>
      <c r="CH38" s="22"/>
      <c r="CI38" s="19"/>
      <c r="CJ38" s="22"/>
      <c r="CK38" s="39"/>
      <c r="CL38" s="21"/>
      <c r="CM38" s="21"/>
      <c r="CN38" s="19"/>
      <c r="CO38" s="19"/>
      <c r="CP38" s="22"/>
      <c r="CQ38" s="39"/>
      <c r="CR38" s="22"/>
      <c r="CS38" s="39"/>
      <c r="CT38" s="21"/>
      <c r="CU38" s="21"/>
      <c r="CV38" s="19"/>
      <c r="CW38" s="19"/>
      <c r="CX38" s="22"/>
      <c r="CY38" s="39"/>
      <c r="CZ38" s="22"/>
      <c r="DA38" s="19"/>
      <c r="DB38" s="21"/>
      <c r="DC38" s="21"/>
      <c r="DD38" s="19"/>
      <c r="DE38" s="19"/>
      <c r="DF38" s="22" t="e">
        <f t="shared" si="34"/>
        <v>#DIV/0!</v>
      </c>
      <c r="DG38" s="19"/>
      <c r="DH38" s="19"/>
      <c r="DI38" s="29" t="e">
        <f t="shared" si="35"/>
        <v>#DIV/0!</v>
      </c>
      <c r="DJ38" s="27"/>
      <c r="DK38" s="27"/>
      <c r="DL38" s="23"/>
      <c r="DM38" s="19"/>
      <c r="DN38" s="19"/>
      <c r="DO38" s="19"/>
      <c r="DP38" s="24" t="e">
        <f t="shared" si="36"/>
        <v>#DIV/0!</v>
      </c>
      <c r="DQ38" s="28"/>
    </row>
    <row r="39" spans="1:121">
      <c r="A39" s="3"/>
      <c r="C39" s="19"/>
      <c r="D39" s="19"/>
      <c r="E39" s="19"/>
      <c r="F39" s="19"/>
      <c r="G39" s="19"/>
      <c r="H39" s="19"/>
      <c r="I39" s="19"/>
      <c r="J39" s="19"/>
      <c r="K39" s="30"/>
      <c r="L39" s="19"/>
      <c r="M39" s="19"/>
      <c r="N39" s="22"/>
      <c r="O39" s="39"/>
      <c r="P39" s="22"/>
      <c r="Q39" s="19"/>
      <c r="R39" s="20"/>
      <c r="S39" s="20"/>
      <c r="T39" s="19"/>
      <c r="U39" s="19"/>
      <c r="V39" s="22"/>
      <c r="W39" s="19"/>
      <c r="X39" s="22"/>
      <c r="Y39" s="19"/>
      <c r="Z39" s="21"/>
      <c r="AA39" s="21"/>
      <c r="AB39" s="19"/>
      <c r="AC39" s="19"/>
      <c r="AD39" s="22"/>
      <c r="AE39" s="19"/>
      <c r="AF39" s="22"/>
      <c r="AG39" s="19"/>
      <c r="AH39" s="21"/>
      <c r="AI39" s="21"/>
      <c r="AJ39" s="19"/>
      <c r="AK39" s="19"/>
      <c r="AL39" s="22"/>
      <c r="AM39" s="19"/>
      <c r="AN39" s="22"/>
      <c r="AO39" s="19"/>
      <c r="AP39" s="21"/>
      <c r="AQ39" s="21"/>
      <c r="AR39" s="19"/>
      <c r="AS39" s="19"/>
      <c r="AT39" s="22"/>
      <c r="AU39" s="19"/>
      <c r="AV39" s="22"/>
      <c r="AW39" s="19"/>
      <c r="AX39" s="21"/>
      <c r="AY39" s="21"/>
      <c r="AZ39" s="19"/>
      <c r="BA39" s="19"/>
      <c r="BB39" s="22"/>
      <c r="BC39" s="19"/>
      <c r="BD39" s="22"/>
      <c r="BE39" s="19"/>
      <c r="BF39" s="21"/>
      <c r="BG39" s="21"/>
      <c r="BH39" s="19"/>
      <c r="BI39" s="19"/>
      <c r="BJ39" s="22"/>
      <c r="BK39" s="19"/>
      <c r="BL39" s="22"/>
      <c r="BM39" s="19"/>
      <c r="BN39" s="21"/>
      <c r="BO39" s="21"/>
      <c r="BP39" s="19"/>
      <c r="BQ39" s="19"/>
      <c r="BR39" s="22"/>
      <c r="BS39" s="19"/>
      <c r="BT39" s="22"/>
      <c r="BU39" s="19"/>
      <c r="BV39" s="21"/>
      <c r="BW39" s="21"/>
      <c r="BX39" s="19"/>
      <c r="BY39" s="19"/>
      <c r="BZ39" s="22"/>
      <c r="CA39" s="19"/>
      <c r="CB39" s="22"/>
      <c r="CC39" s="19"/>
      <c r="CD39" s="21"/>
      <c r="CE39" s="21"/>
      <c r="CF39" s="19"/>
      <c r="CG39" s="19"/>
      <c r="CH39" s="22"/>
      <c r="CI39" s="19"/>
      <c r="CJ39" s="22"/>
      <c r="CK39" s="39"/>
      <c r="CL39" s="21"/>
      <c r="CM39" s="21"/>
      <c r="CN39" s="19"/>
      <c r="CO39" s="19"/>
      <c r="CP39" s="22"/>
      <c r="CQ39" s="39"/>
      <c r="CR39" s="22"/>
      <c r="CS39" s="39"/>
      <c r="CT39" s="21"/>
      <c r="CU39" s="21"/>
      <c r="CV39" s="19"/>
      <c r="CW39" s="19"/>
      <c r="CX39" s="22"/>
      <c r="CY39" s="39"/>
      <c r="CZ39" s="22"/>
      <c r="DA39" s="19"/>
      <c r="DB39" s="21"/>
      <c r="DC39" s="21"/>
      <c r="DD39" s="19"/>
      <c r="DE39" s="19"/>
      <c r="DF39" s="22" t="e">
        <f t="shared" si="34"/>
        <v>#DIV/0!</v>
      </c>
      <c r="DG39" s="19"/>
      <c r="DH39" s="19"/>
      <c r="DI39" s="29" t="e">
        <f t="shared" si="35"/>
        <v>#DIV/0!</v>
      </c>
      <c r="DJ39" s="27"/>
      <c r="DK39" s="27"/>
      <c r="DL39" s="23"/>
      <c r="DM39" s="19"/>
      <c r="DN39" s="19"/>
      <c r="DO39" s="19"/>
      <c r="DP39" s="24" t="e">
        <f t="shared" si="36"/>
        <v>#DIV/0!</v>
      </c>
      <c r="DQ39" s="28"/>
    </row>
    <row r="40" spans="1:121">
      <c r="A40" s="3"/>
      <c r="C40" s="19"/>
      <c r="D40" s="19"/>
      <c r="E40" s="19"/>
      <c r="F40" s="19"/>
      <c r="G40" s="19"/>
      <c r="H40" s="19"/>
      <c r="I40" s="19"/>
      <c r="J40" s="19"/>
      <c r="K40" s="30"/>
      <c r="L40" s="19"/>
      <c r="M40" s="19"/>
      <c r="N40" s="22"/>
      <c r="O40" s="39"/>
      <c r="P40" s="22"/>
      <c r="Q40" s="19"/>
      <c r="R40" s="20"/>
      <c r="S40" s="20"/>
      <c r="T40" s="19"/>
      <c r="U40" s="19"/>
      <c r="V40" s="22"/>
      <c r="W40" s="19"/>
      <c r="X40" s="22"/>
      <c r="Y40" s="19"/>
      <c r="Z40" s="21"/>
      <c r="AA40" s="21"/>
      <c r="AB40" s="19"/>
      <c r="AC40" s="19"/>
      <c r="AD40" s="22"/>
      <c r="AE40" s="19"/>
      <c r="AF40" s="22"/>
      <c r="AG40" s="19"/>
      <c r="AH40" s="21"/>
      <c r="AI40" s="21"/>
      <c r="AJ40" s="19"/>
      <c r="AK40" s="19"/>
      <c r="AL40" s="22"/>
      <c r="AM40" s="19"/>
      <c r="AN40" s="22"/>
      <c r="AO40" s="19"/>
      <c r="AP40" s="21"/>
      <c r="AQ40" s="21"/>
      <c r="AR40" s="19"/>
      <c r="AS40" s="19"/>
      <c r="AT40" s="22"/>
      <c r="AU40" s="19"/>
      <c r="AV40" s="22"/>
      <c r="AW40" s="19"/>
      <c r="AX40" s="21"/>
      <c r="AY40" s="21"/>
      <c r="AZ40" s="19"/>
      <c r="BA40" s="19"/>
      <c r="BB40" s="22"/>
      <c r="BC40" s="19"/>
      <c r="BD40" s="22"/>
      <c r="BE40" s="19"/>
      <c r="BF40" s="21"/>
      <c r="BG40" s="21"/>
      <c r="BH40" s="19"/>
      <c r="BI40" s="19"/>
      <c r="BJ40" s="22"/>
      <c r="BK40" s="19"/>
      <c r="BL40" s="22"/>
      <c r="BM40" s="19"/>
      <c r="BN40" s="21"/>
      <c r="BO40" s="21"/>
      <c r="BP40" s="19"/>
      <c r="BQ40" s="19"/>
      <c r="BR40" s="22"/>
      <c r="BS40" s="19"/>
      <c r="BT40" s="22"/>
      <c r="BU40" s="19"/>
      <c r="BV40" s="21"/>
      <c r="BW40" s="21"/>
      <c r="BX40" s="19"/>
      <c r="BY40" s="19"/>
      <c r="BZ40" s="22"/>
      <c r="CA40" s="19"/>
      <c r="CB40" s="22"/>
      <c r="CC40" s="19"/>
      <c r="CD40" s="21"/>
      <c r="CE40" s="21"/>
      <c r="CF40" s="19"/>
      <c r="CG40" s="19"/>
      <c r="CH40" s="22"/>
      <c r="CI40" s="19"/>
      <c r="CJ40" s="22"/>
      <c r="CK40" s="39"/>
      <c r="CL40" s="21"/>
      <c r="CM40" s="21"/>
      <c r="CN40" s="19"/>
      <c r="CO40" s="19"/>
      <c r="CP40" s="22"/>
      <c r="CQ40" s="39"/>
      <c r="CR40" s="22"/>
      <c r="CS40" s="39"/>
      <c r="CT40" s="21"/>
      <c r="CU40" s="21"/>
      <c r="CV40" s="19"/>
      <c r="CW40" s="19"/>
      <c r="CX40" s="22"/>
      <c r="CY40" s="39"/>
      <c r="CZ40" s="22"/>
      <c r="DA40" s="19"/>
      <c r="DB40" s="21"/>
      <c r="DC40" s="21"/>
      <c r="DD40" s="19"/>
      <c r="DE40" s="19"/>
      <c r="DF40" s="22" t="e">
        <f t="shared" si="34"/>
        <v>#DIV/0!</v>
      </c>
      <c r="DG40" s="19"/>
      <c r="DH40" s="19"/>
      <c r="DI40" s="29" t="e">
        <f t="shared" si="35"/>
        <v>#DIV/0!</v>
      </c>
      <c r="DJ40" s="27"/>
      <c r="DK40" s="27"/>
      <c r="DL40" s="23"/>
      <c r="DM40" s="19"/>
      <c r="DN40" s="19"/>
      <c r="DO40" s="19"/>
      <c r="DP40" s="24" t="e">
        <f t="shared" si="36"/>
        <v>#DIV/0!</v>
      </c>
      <c r="DQ40" s="28"/>
    </row>
    <row r="41" spans="1:121">
      <c r="A41" s="3"/>
      <c r="C41" s="19"/>
      <c r="D41" s="19"/>
      <c r="E41" s="19"/>
      <c r="F41" s="19"/>
      <c r="G41" s="19"/>
      <c r="H41" s="19"/>
      <c r="I41" s="19"/>
      <c r="J41" s="19"/>
      <c r="K41" s="30"/>
      <c r="L41" s="19"/>
      <c r="M41" s="19"/>
      <c r="N41" s="22"/>
      <c r="O41" s="39"/>
      <c r="P41" s="22"/>
      <c r="Q41" s="19"/>
      <c r="R41" s="20"/>
      <c r="S41" s="20"/>
      <c r="T41" s="19"/>
      <c r="U41" s="19"/>
      <c r="V41" s="22"/>
      <c r="W41" s="19"/>
      <c r="X41" s="22"/>
      <c r="Y41" s="19"/>
      <c r="Z41" s="21"/>
      <c r="AA41" s="21"/>
      <c r="AB41" s="19"/>
      <c r="AC41" s="19"/>
      <c r="AD41" s="22"/>
      <c r="AE41" s="19"/>
      <c r="AF41" s="22"/>
      <c r="AG41" s="19"/>
      <c r="AH41" s="21"/>
      <c r="AI41" s="21"/>
      <c r="AJ41" s="19"/>
      <c r="AK41" s="19"/>
      <c r="AL41" s="22"/>
      <c r="AM41" s="19"/>
      <c r="AN41" s="22"/>
      <c r="AO41" s="19"/>
      <c r="AP41" s="21"/>
      <c r="AQ41" s="21"/>
      <c r="AR41" s="19"/>
      <c r="AS41" s="19"/>
      <c r="AT41" s="22"/>
      <c r="AU41" s="19"/>
      <c r="AV41" s="22"/>
      <c r="AW41" s="19"/>
      <c r="AX41" s="21"/>
      <c r="AY41" s="21"/>
      <c r="AZ41" s="19"/>
      <c r="BA41" s="19"/>
      <c r="BB41" s="22"/>
      <c r="BC41" s="19"/>
      <c r="BD41" s="22"/>
      <c r="BE41" s="19"/>
      <c r="BF41" s="21"/>
      <c r="BG41" s="21"/>
      <c r="BH41" s="19"/>
      <c r="BI41" s="19"/>
      <c r="BJ41" s="22"/>
      <c r="BK41" s="19"/>
      <c r="BL41" s="22"/>
      <c r="BM41" s="19"/>
      <c r="BN41" s="21"/>
      <c r="BO41" s="21"/>
      <c r="BP41" s="19"/>
      <c r="BQ41" s="19"/>
      <c r="BR41" s="22"/>
      <c r="BS41" s="19"/>
      <c r="BT41" s="22"/>
      <c r="BU41" s="19"/>
      <c r="BV41" s="21"/>
      <c r="BW41" s="21"/>
      <c r="BX41" s="19"/>
      <c r="BY41" s="19"/>
      <c r="BZ41" s="22"/>
      <c r="CA41" s="19"/>
      <c r="CB41" s="22"/>
      <c r="CC41" s="19"/>
      <c r="CD41" s="21"/>
      <c r="CE41" s="21"/>
      <c r="CF41" s="19"/>
      <c r="CG41" s="19"/>
      <c r="CH41" s="22"/>
      <c r="CI41" s="19"/>
      <c r="CJ41" s="22"/>
      <c r="CK41" s="39"/>
      <c r="CL41" s="21"/>
      <c r="CM41" s="21"/>
      <c r="CN41" s="19"/>
      <c r="CO41" s="19"/>
      <c r="CP41" s="22"/>
      <c r="CQ41" s="39"/>
      <c r="CR41" s="22"/>
      <c r="CS41" s="39"/>
      <c r="CT41" s="21"/>
      <c r="CU41" s="21"/>
      <c r="CV41" s="19"/>
      <c r="CW41" s="19"/>
      <c r="CX41" s="22"/>
      <c r="CY41" s="39"/>
      <c r="CZ41" s="22"/>
      <c r="DA41" s="19"/>
      <c r="DB41" s="21"/>
      <c r="DC41" s="21"/>
      <c r="DD41" s="19"/>
      <c r="DE41" s="19"/>
      <c r="DF41" s="22" t="e">
        <f t="shared" si="34"/>
        <v>#DIV/0!</v>
      </c>
      <c r="DG41" s="19"/>
      <c r="DH41" s="19"/>
      <c r="DI41" s="29" t="e">
        <f t="shared" si="35"/>
        <v>#DIV/0!</v>
      </c>
      <c r="DJ41" s="27"/>
      <c r="DK41" s="27"/>
      <c r="DL41" s="23"/>
      <c r="DM41" s="19"/>
      <c r="DN41" s="19"/>
      <c r="DO41" s="19"/>
      <c r="DP41" s="24" t="e">
        <f t="shared" si="36"/>
        <v>#DIV/0!</v>
      </c>
      <c r="DQ41" s="28"/>
    </row>
    <row r="42" spans="1:121">
      <c r="A42" s="3"/>
      <c r="C42" s="19"/>
      <c r="D42" s="19"/>
      <c r="E42" s="19"/>
      <c r="F42" s="19"/>
      <c r="G42" s="19"/>
      <c r="H42" s="19"/>
      <c r="I42" s="19"/>
      <c r="J42" s="19"/>
      <c r="K42" s="30"/>
      <c r="L42" s="19"/>
      <c r="M42" s="19"/>
      <c r="N42" s="22"/>
      <c r="O42" s="39"/>
      <c r="P42" s="22"/>
      <c r="Q42" s="19"/>
      <c r="R42" s="20"/>
      <c r="S42" s="20"/>
      <c r="T42" s="19"/>
      <c r="U42" s="19"/>
      <c r="V42" s="22"/>
      <c r="W42" s="19"/>
      <c r="X42" s="22"/>
      <c r="Y42" s="19"/>
      <c r="Z42" s="21"/>
      <c r="AA42" s="21"/>
      <c r="AB42" s="19"/>
      <c r="AC42" s="19"/>
      <c r="AD42" s="22"/>
      <c r="AE42" s="19"/>
      <c r="AF42" s="22"/>
      <c r="AG42" s="19"/>
      <c r="AH42" s="21"/>
      <c r="AI42" s="21"/>
      <c r="AJ42" s="19"/>
      <c r="AK42" s="19"/>
      <c r="AL42" s="22"/>
      <c r="AM42" s="19"/>
      <c r="AN42" s="22"/>
      <c r="AO42" s="19"/>
      <c r="AP42" s="21"/>
      <c r="AQ42" s="21"/>
      <c r="AR42" s="19"/>
      <c r="AS42" s="19"/>
      <c r="AT42" s="22"/>
      <c r="AU42" s="19"/>
      <c r="AV42" s="22"/>
      <c r="AW42" s="19"/>
      <c r="AX42" s="21"/>
      <c r="AY42" s="21"/>
      <c r="AZ42" s="19"/>
      <c r="BA42" s="19"/>
      <c r="BB42" s="22"/>
      <c r="BC42" s="19"/>
      <c r="BD42" s="22"/>
      <c r="BE42" s="19"/>
      <c r="BF42" s="21"/>
      <c r="BG42" s="21"/>
      <c r="BH42" s="19"/>
      <c r="BI42" s="19"/>
      <c r="BJ42" s="22"/>
      <c r="BK42" s="19"/>
      <c r="BL42" s="22"/>
      <c r="BM42" s="19"/>
      <c r="BN42" s="21"/>
      <c r="BO42" s="21"/>
      <c r="BP42" s="19"/>
      <c r="BQ42" s="19"/>
      <c r="BR42" s="22"/>
      <c r="BS42" s="19"/>
      <c r="BT42" s="22"/>
      <c r="BU42" s="19"/>
      <c r="BV42" s="21"/>
      <c r="BW42" s="21"/>
      <c r="BX42" s="19"/>
      <c r="BY42" s="19"/>
      <c r="BZ42" s="22"/>
      <c r="CA42" s="19"/>
      <c r="CB42" s="22"/>
      <c r="CC42" s="19"/>
      <c r="CD42" s="21"/>
      <c r="CE42" s="21"/>
      <c r="CF42" s="19"/>
      <c r="CG42" s="19"/>
      <c r="CH42" s="22"/>
      <c r="CI42" s="19"/>
      <c r="CJ42" s="22"/>
      <c r="CK42" s="39"/>
      <c r="CL42" s="21"/>
      <c r="CM42" s="21"/>
      <c r="CN42" s="19"/>
      <c r="CO42" s="19"/>
      <c r="CP42" s="22"/>
      <c r="CQ42" s="39"/>
      <c r="CR42" s="22"/>
      <c r="CS42" s="39"/>
      <c r="CT42" s="21"/>
      <c r="CU42" s="21"/>
      <c r="CV42" s="19"/>
      <c r="CW42" s="19"/>
      <c r="CX42" s="22"/>
      <c r="CY42" s="39"/>
      <c r="CZ42" s="22"/>
      <c r="DA42" s="19"/>
      <c r="DB42" s="21"/>
      <c r="DC42" s="21"/>
      <c r="DD42" s="19"/>
      <c r="DE42" s="19"/>
      <c r="DF42" s="22" t="e">
        <f t="shared" ref="DF42:DF57" si="37">DE42/DD42</f>
        <v>#DIV/0!</v>
      </c>
      <c r="DG42" s="19"/>
      <c r="DH42" s="19"/>
      <c r="DI42" s="29" t="e">
        <f t="shared" ref="DI42:DI57" si="38">DH42/DG42</f>
        <v>#DIV/0!</v>
      </c>
      <c r="DJ42" s="27"/>
      <c r="DK42" s="27"/>
      <c r="DL42" s="23"/>
      <c r="DM42" s="19"/>
      <c r="DN42" s="19"/>
      <c r="DO42" s="19"/>
      <c r="DP42" s="24" t="e">
        <f t="shared" ref="DP42:DP57" si="39">DD42/DM42</f>
        <v>#DIV/0!</v>
      </c>
      <c r="DQ42" s="28"/>
    </row>
    <row r="43" spans="1:121">
      <c r="A43" s="3"/>
      <c r="C43" s="19"/>
      <c r="D43" s="19"/>
      <c r="E43" s="19"/>
      <c r="F43" s="19"/>
      <c r="G43" s="19"/>
      <c r="H43" s="19"/>
      <c r="I43" s="19"/>
      <c r="J43" s="19"/>
      <c r="K43" s="30"/>
      <c r="L43" s="19"/>
      <c r="M43" s="19"/>
      <c r="N43" s="22"/>
      <c r="O43" s="39"/>
      <c r="P43" s="22"/>
      <c r="Q43" s="19"/>
      <c r="R43" s="20"/>
      <c r="S43" s="20"/>
      <c r="T43" s="19"/>
      <c r="U43" s="19"/>
      <c r="V43" s="22"/>
      <c r="W43" s="19"/>
      <c r="X43" s="22"/>
      <c r="Y43" s="19"/>
      <c r="Z43" s="21"/>
      <c r="AA43" s="21"/>
      <c r="AB43" s="19"/>
      <c r="AC43" s="19"/>
      <c r="AD43" s="22"/>
      <c r="AE43" s="19"/>
      <c r="AF43" s="22"/>
      <c r="AG43" s="19"/>
      <c r="AH43" s="21"/>
      <c r="AI43" s="21"/>
      <c r="AJ43" s="19"/>
      <c r="AK43" s="19"/>
      <c r="AL43" s="22"/>
      <c r="AM43" s="19"/>
      <c r="AN43" s="22"/>
      <c r="AO43" s="19"/>
      <c r="AP43" s="21"/>
      <c r="AQ43" s="21"/>
      <c r="AR43" s="19"/>
      <c r="AS43" s="19"/>
      <c r="AT43" s="22"/>
      <c r="AU43" s="19"/>
      <c r="AV43" s="22"/>
      <c r="AW43" s="19"/>
      <c r="AX43" s="21"/>
      <c r="AY43" s="21"/>
      <c r="AZ43" s="19"/>
      <c r="BA43" s="19"/>
      <c r="BB43" s="22"/>
      <c r="BC43" s="19"/>
      <c r="BD43" s="22"/>
      <c r="BE43" s="19"/>
      <c r="BF43" s="21"/>
      <c r="BG43" s="21"/>
      <c r="BH43" s="19"/>
      <c r="BI43" s="19"/>
      <c r="BJ43" s="22"/>
      <c r="BK43" s="19"/>
      <c r="BL43" s="22"/>
      <c r="BM43" s="19"/>
      <c r="BN43" s="21"/>
      <c r="BO43" s="21"/>
      <c r="BP43" s="19"/>
      <c r="BQ43" s="19"/>
      <c r="BR43" s="22"/>
      <c r="BS43" s="19"/>
      <c r="BT43" s="22"/>
      <c r="BU43" s="19"/>
      <c r="BV43" s="21"/>
      <c r="BW43" s="21"/>
      <c r="BX43" s="19"/>
      <c r="BY43" s="19"/>
      <c r="BZ43" s="22"/>
      <c r="CA43" s="19"/>
      <c r="CB43" s="22"/>
      <c r="CC43" s="19"/>
      <c r="CD43" s="21"/>
      <c r="CE43" s="21"/>
      <c r="CF43" s="19"/>
      <c r="CG43" s="19"/>
      <c r="CH43" s="22"/>
      <c r="CI43" s="19"/>
      <c r="CJ43" s="22"/>
      <c r="CK43" s="39"/>
      <c r="CL43" s="21"/>
      <c r="CM43" s="21"/>
      <c r="CN43" s="19"/>
      <c r="CO43" s="19"/>
      <c r="CP43" s="22"/>
      <c r="CQ43" s="39"/>
      <c r="CR43" s="22"/>
      <c r="CS43" s="39"/>
      <c r="CT43" s="21"/>
      <c r="CU43" s="21"/>
      <c r="CV43" s="19"/>
      <c r="CW43" s="19"/>
      <c r="CX43" s="22"/>
      <c r="CY43" s="39"/>
      <c r="CZ43" s="22"/>
      <c r="DA43" s="19"/>
      <c r="DB43" s="21"/>
      <c r="DC43" s="21"/>
      <c r="DD43" s="19"/>
      <c r="DE43" s="19"/>
      <c r="DF43" s="22" t="e">
        <f t="shared" si="37"/>
        <v>#DIV/0!</v>
      </c>
      <c r="DG43" s="19"/>
      <c r="DH43" s="19"/>
      <c r="DI43" s="29" t="e">
        <f t="shared" si="38"/>
        <v>#DIV/0!</v>
      </c>
      <c r="DJ43" s="27"/>
      <c r="DK43" s="27"/>
      <c r="DL43" s="23"/>
      <c r="DM43" s="19"/>
      <c r="DN43" s="19"/>
      <c r="DO43" s="19"/>
      <c r="DP43" s="24" t="e">
        <f t="shared" si="39"/>
        <v>#DIV/0!</v>
      </c>
      <c r="DQ43" s="28"/>
    </row>
    <row r="44" spans="1:121">
      <c r="A44" s="3"/>
      <c r="C44" s="19"/>
      <c r="D44" s="19"/>
      <c r="E44" s="19"/>
      <c r="F44" s="19"/>
      <c r="G44" s="19"/>
      <c r="H44" s="19"/>
      <c r="I44" s="19"/>
      <c r="J44" s="19"/>
      <c r="K44" s="30"/>
      <c r="L44" s="19"/>
      <c r="M44" s="19"/>
      <c r="N44" s="22"/>
      <c r="O44" s="39"/>
      <c r="P44" s="22"/>
      <c r="Q44" s="19"/>
      <c r="R44" s="20"/>
      <c r="S44" s="20"/>
      <c r="T44" s="19"/>
      <c r="U44" s="19"/>
      <c r="V44" s="22"/>
      <c r="W44" s="19"/>
      <c r="X44" s="22"/>
      <c r="Y44" s="19"/>
      <c r="Z44" s="21"/>
      <c r="AA44" s="21"/>
      <c r="AB44" s="19"/>
      <c r="AC44" s="19"/>
      <c r="AD44" s="22"/>
      <c r="AE44" s="19"/>
      <c r="AF44" s="22"/>
      <c r="AG44" s="19"/>
      <c r="AH44" s="21"/>
      <c r="AI44" s="21"/>
      <c r="AJ44" s="19"/>
      <c r="AK44" s="19"/>
      <c r="AL44" s="22"/>
      <c r="AM44" s="19"/>
      <c r="AN44" s="22"/>
      <c r="AO44" s="19"/>
      <c r="AP44" s="21"/>
      <c r="AQ44" s="21"/>
      <c r="AR44" s="19"/>
      <c r="AS44" s="19"/>
      <c r="AT44" s="22"/>
      <c r="AU44" s="19"/>
      <c r="AV44" s="22"/>
      <c r="AW44" s="19"/>
      <c r="AX44" s="21"/>
      <c r="AY44" s="21"/>
      <c r="AZ44" s="19"/>
      <c r="BA44" s="19"/>
      <c r="BB44" s="22"/>
      <c r="BC44" s="19"/>
      <c r="BD44" s="22"/>
      <c r="BE44" s="19"/>
      <c r="BF44" s="21"/>
      <c r="BG44" s="21"/>
      <c r="BH44" s="19"/>
      <c r="BI44" s="19"/>
      <c r="BJ44" s="22"/>
      <c r="BK44" s="19"/>
      <c r="BL44" s="22"/>
      <c r="BM44" s="19"/>
      <c r="BN44" s="21"/>
      <c r="BO44" s="21"/>
      <c r="BP44" s="19"/>
      <c r="BQ44" s="19"/>
      <c r="BR44" s="22"/>
      <c r="BS44" s="19"/>
      <c r="BT44" s="22"/>
      <c r="BU44" s="19"/>
      <c r="BV44" s="21"/>
      <c r="BW44" s="21"/>
      <c r="BX44" s="19"/>
      <c r="BY44" s="19"/>
      <c r="BZ44" s="22"/>
      <c r="CA44" s="19"/>
      <c r="CB44" s="22"/>
      <c r="CC44" s="19"/>
      <c r="CD44" s="21"/>
      <c r="CE44" s="21"/>
      <c r="CF44" s="19"/>
      <c r="CG44" s="19"/>
      <c r="CH44" s="22"/>
      <c r="CI44" s="19"/>
      <c r="CJ44" s="22"/>
      <c r="CK44" s="39"/>
      <c r="CL44" s="21"/>
      <c r="CM44" s="21"/>
      <c r="CN44" s="19"/>
      <c r="CO44" s="19"/>
      <c r="CP44" s="22"/>
      <c r="CQ44" s="39"/>
      <c r="CR44" s="22"/>
      <c r="CS44" s="39"/>
      <c r="CT44" s="21"/>
      <c r="CU44" s="21"/>
      <c r="CV44" s="19"/>
      <c r="CW44" s="19"/>
      <c r="CX44" s="22"/>
      <c r="CY44" s="39"/>
      <c r="CZ44" s="22"/>
      <c r="DA44" s="19"/>
      <c r="DB44" s="21"/>
      <c r="DC44" s="21"/>
      <c r="DD44" s="19"/>
      <c r="DE44" s="19"/>
      <c r="DF44" s="22" t="e">
        <f t="shared" si="37"/>
        <v>#DIV/0!</v>
      </c>
      <c r="DG44" s="19"/>
      <c r="DH44" s="19"/>
      <c r="DI44" s="29" t="e">
        <f t="shared" si="38"/>
        <v>#DIV/0!</v>
      </c>
      <c r="DJ44" s="27"/>
      <c r="DK44" s="27"/>
      <c r="DL44" s="23"/>
      <c r="DM44" s="19"/>
      <c r="DN44" s="19"/>
      <c r="DO44" s="19"/>
      <c r="DP44" s="24" t="e">
        <f t="shared" si="39"/>
        <v>#DIV/0!</v>
      </c>
      <c r="DQ44" s="28"/>
    </row>
    <row r="45" spans="1:121">
      <c r="A45" s="3"/>
      <c r="C45" s="19"/>
      <c r="D45" s="19"/>
      <c r="E45" s="19"/>
      <c r="F45" s="19"/>
      <c r="G45" s="19"/>
      <c r="H45" s="19"/>
      <c r="I45" s="19"/>
      <c r="J45" s="19"/>
      <c r="K45" s="30"/>
      <c r="L45" s="19"/>
      <c r="M45" s="19"/>
      <c r="N45" s="22"/>
      <c r="O45" s="39"/>
      <c r="P45" s="22"/>
      <c r="Q45" s="19"/>
      <c r="R45" s="20"/>
      <c r="S45" s="20"/>
      <c r="T45" s="19"/>
      <c r="U45" s="19"/>
      <c r="V45" s="22"/>
      <c r="W45" s="19"/>
      <c r="X45" s="22"/>
      <c r="Y45" s="19"/>
      <c r="Z45" s="21"/>
      <c r="AA45" s="21"/>
      <c r="AB45" s="19"/>
      <c r="AC45" s="19"/>
      <c r="AD45" s="22"/>
      <c r="AE45" s="19"/>
      <c r="AF45" s="22"/>
      <c r="AG45" s="19"/>
      <c r="AH45" s="21"/>
      <c r="AI45" s="21"/>
      <c r="AJ45" s="19"/>
      <c r="AK45" s="19"/>
      <c r="AL45" s="22"/>
      <c r="AM45" s="19"/>
      <c r="AN45" s="22"/>
      <c r="AO45" s="19"/>
      <c r="AP45" s="21"/>
      <c r="AQ45" s="21"/>
      <c r="AR45" s="19"/>
      <c r="AS45" s="19"/>
      <c r="AT45" s="22"/>
      <c r="AU45" s="19"/>
      <c r="AV45" s="22"/>
      <c r="AW45" s="19"/>
      <c r="AX45" s="21"/>
      <c r="AY45" s="21"/>
      <c r="AZ45" s="19"/>
      <c r="BA45" s="19"/>
      <c r="BB45" s="22"/>
      <c r="BC45" s="19"/>
      <c r="BD45" s="22"/>
      <c r="BE45" s="19"/>
      <c r="BF45" s="21"/>
      <c r="BG45" s="21"/>
      <c r="BH45" s="19"/>
      <c r="BI45" s="19"/>
      <c r="BJ45" s="22"/>
      <c r="BK45" s="19"/>
      <c r="BL45" s="22"/>
      <c r="BM45" s="19"/>
      <c r="BN45" s="21"/>
      <c r="BO45" s="21"/>
      <c r="BP45" s="19"/>
      <c r="BQ45" s="19"/>
      <c r="BR45" s="22"/>
      <c r="BS45" s="19"/>
      <c r="BT45" s="22"/>
      <c r="BU45" s="19"/>
      <c r="BV45" s="21"/>
      <c r="BW45" s="21"/>
      <c r="BX45" s="19"/>
      <c r="BY45" s="19"/>
      <c r="BZ45" s="22"/>
      <c r="CA45" s="19"/>
      <c r="CB45" s="22"/>
      <c r="CC45" s="19"/>
      <c r="CD45" s="21"/>
      <c r="CE45" s="21"/>
      <c r="CF45" s="19"/>
      <c r="CG45" s="19"/>
      <c r="CH45" s="22"/>
      <c r="CI45" s="19"/>
      <c r="CJ45" s="22"/>
      <c r="CK45" s="39"/>
      <c r="CL45" s="21"/>
      <c r="CM45" s="21"/>
      <c r="CN45" s="19"/>
      <c r="CO45" s="19"/>
      <c r="CP45" s="22"/>
      <c r="CQ45" s="39"/>
      <c r="CR45" s="22"/>
      <c r="CS45" s="39"/>
      <c r="CT45" s="21"/>
      <c r="CU45" s="21"/>
      <c r="CV45" s="19"/>
      <c r="CW45" s="19"/>
      <c r="CX45" s="22"/>
      <c r="CY45" s="39"/>
      <c r="CZ45" s="22"/>
      <c r="DA45" s="19"/>
      <c r="DB45" s="21"/>
      <c r="DC45" s="21"/>
      <c r="DD45" s="19"/>
      <c r="DE45" s="19"/>
      <c r="DF45" s="22" t="e">
        <f t="shared" si="37"/>
        <v>#DIV/0!</v>
      </c>
      <c r="DG45" s="19"/>
      <c r="DH45" s="19"/>
      <c r="DI45" s="29" t="e">
        <f t="shared" si="38"/>
        <v>#DIV/0!</v>
      </c>
      <c r="DJ45" s="27"/>
      <c r="DK45" s="27"/>
      <c r="DL45" s="23"/>
      <c r="DM45" s="19"/>
      <c r="DN45" s="19"/>
      <c r="DO45" s="19"/>
      <c r="DP45" s="24" t="e">
        <f t="shared" si="39"/>
        <v>#DIV/0!</v>
      </c>
      <c r="DQ45" s="28"/>
    </row>
    <row r="46" spans="1:121">
      <c r="A46" s="3"/>
      <c r="C46" s="19"/>
      <c r="D46" s="19"/>
      <c r="E46" s="19"/>
      <c r="F46" s="19"/>
      <c r="G46" s="19"/>
      <c r="H46" s="19"/>
      <c r="I46" s="19"/>
      <c r="J46" s="19"/>
      <c r="K46" s="30"/>
      <c r="L46" s="19"/>
      <c r="M46" s="19"/>
      <c r="N46" s="22"/>
      <c r="O46" s="39"/>
      <c r="P46" s="22"/>
      <c r="Q46" s="19"/>
      <c r="R46" s="20"/>
      <c r="S46" s="20"/>
      <c r="T46" s="19"/>
      <c r="U46" s="19"/>
      <c r="V46" s="22"/>
      <c r="W46" s="19"/>
      <c r="X46" s="22"/>
      <c r="Y46" s="19"/>
      <c r="Z46" s="21"/>
      <c r="AA46" s="21"/>
      <c r="AB46" s="19"/>
      <c r="AC46" s="19"/>
      <c r="AD46" s="22"/>
      <c r="AE46" s="19"/>
      <c r="AF46" s="22"/>
      <c r="AG46" s="19"/>
      <c r="AH46" s="21"/>
      <c r="AI46" s="21"/>
      <c r="AJ46" s="19"/>
      <c r="AK46" s="19"/>
      <c r="AL46" s="22"/>
      <c r="AM46" s="19"/>
      <c r="AN46" s="22"/>
      <c r="AO46" s="19"/>
      <c r="AP46" s="21"/>
      <c r="AQ46" s="21"/>
      <c r="AR46" s="19"/>
      <c r="AS46" s="19"/>
      <c r="AT46" s="22"/>
      <c r="AU46" s="19"/>
      <c r="AV46" s="22"/>
      <c r="AW46" s="19"/>
      <c r="AX46" s="21"/>
      <c r="AY46" s="21"/>
      <c r="AZ46" s="19"/>
      <c r="BA46" s="19"/>
      <c r="BB46" s="22"/>
      <c r="BC46" s="19"/>
      <c r="BD46" s="22"/>
      <c r="BE46" s="19"/>
      <c r="BF46" s="21"/>
      <c r="BG46" s="21"/>
      <c r="BH46" s="19"/>
      <c r="BI46" s="19"/>
      <c r="BJ46" s="22"/>
      <c r="BK46" s="19"/>
      <c r="BL46" s="22"/>
      <c r="BM46" s="19"/>
      <c r="BN46" s="21"/>
      <c r="BO46" s="21"/>
      <c r="BP46" s="19"/>
      <c r="BQ46" s="19"/>
      <c r="BR46" s="22"/>
      <c r="BS46" s="19"/>
      <c r="BT46" s="22"/>
      <c r="BU46" s="19"/>
      <c r="BV46" s="21"/>
      <c r="BW46" s="21"/>
      <c r="BX46" s="19"/>
      <c r="BY46" s="19"/>
      <c r="BZ46" s="22"/>
      <c r="CA46" s="19"/>
      <c r="CB46" s="22"/>
      <c r="CC46" s="19"/>
      <c r="CD46" s="21"/>
      <c r="CE46" s="21"/>
      <c r="CF46" s="19"/>
      <c r="CG46" s="19"/>
      <c r="CH46" s="22"/>
      <c r="CI46" s="19"/>
      <c r="CJ46" s="22"/>
      <c r="CK46" s="39"/>
      <c r="CL46" s="21"/>
      <c r="CM46" s="21"/>
      <c r="CN46" s="19"/>
      <c r="CO46" s="19"/>
      <c r="CP46" s="22"/>
      <c r="CQ46" s="39"/>
      <c r="CR46" s="22"/>
      <c r="CS46" s="39"/>
      <c r="CT46" s="21"/>
      <c r="CU46" s="21"/>
      <c r="CV46" s="19"/>
      <c r="CW46" s="19"/>
      <c r="CX46" s="22"/>
      <c r="CY46" s="39"/>
      <c r="CZ46" s="22"/>
      <c r="DA46" s="19"/>
      <c r="DB46" s="21"/>
      <c r="DC46" s="21"/>
      <c r="DD46" s="19"/>
      <c r="DE46" s="19"/>
      <c r="DF46" s="22" t="e">
        <f t="shared" si="37"/>
        <v>#DIV/0!</v>
      </c>
      <c r="DG46" s="19"/>
      <c r="DH46" s="19"/>
      <c r="DI46" s="29" t="e">
        <f t="shared" si="38"/>
        <v>#DIV/0!</v>
      </c>
      <c r="DJ46" s="27"/>
      <c r="DK46" s="27"/>
      <c r="DL46" s="23"/>
      <c r="DM46" s="19"/>
      <c r="DN46" s="19"/>
      <c r="DO46" s="19"/>
      <c r="DP46" s="24" t="e">
        <f t="shared" si="39"/>
        <v>#DIV/0!</v>
      </c>
      <c r="DQ46" s="28"/>
    </row>
    <row r="47" spans="1:121">
      <c r="A47" s="3"/>
      <c r="C47" s="19"/>
      <c r="D47" s="19"/>
      <c r="E47" s="19"/>
      <c r="F47" s="19"/>
      <c r="G47" s="19"/>
      <c r="H47" s="19"/>
      <c r="I47" s="19"/>
      <c r="J47" s="19"/>
      <c r="K47" s="30"/>
      <c r="L47" s="19"/>
      <c r="M47" s="19"/>
      <c r="N47" s="22"/>
      <c r="O47" s="39"/>
      <c r="P47" s="22"/>
      <c r="Q47" s="19"/>
      <c r="R47" s="20"/>
      <c r="S47" s="20"/>
      <c r="T47" s="19"/>
      <c r="U47" s="19"/>
      <c r="V47" s="22"/>
      <c r="W47" s="19"/>
      <c r="X47" s="22"/>
      <c r="Y47" s="19"/>
      <c r="Z47" s="21"/>
      <c r="AA47" s="21"/>
      <c r="AB47" s="19"/>
      <c r="AC47" s="19"/>
      <c r="AD47" s="22"/>
      <c r="AE47" s="19"/>
      <c r="AF47" s="22"/>
      <c r="AG47" s="19"/>
      <c r="AH47" s="21"/>
      <c r="AI47" s="21"/>
      <c r="AJ47" s="19"/>
      <c r="AK47" s="19"/>
      <c r="AL47" s="22"/>
      <c r="AM47" s="19"/>
      <c r="AN47" s="22"/>
      <c r="AO47" s="19"/>
      <c r="AP47" s="21"/>
      <c r="AQ47" s="21"/>
      <c r="AR47" s="19"/>
      <c r="AS47" s="19"/>
      <c r="AT47" s="22"/>
      <c r="AU47" s="19"/>
      <c r="AV47" s="22"/>
      <c r="AW47" s="19"/>
      <c r="AX47" s="21"/>
      <c r="AY47" s="21"/>
      <c r="AZ47" s="19"/>
      <c r="BA47" s="19"/>
      <c r="BB47" s="22"/>
      <c r="BC47" s="19"/>
      <c r="BD47" s="22"/>
      <c r="BE47" s="19"/>
      <c r="BF47" s="21"/>
      <c r="BG47" s="21"/>
      <c r="BH47" s="19"/>
      <c r="BI47" s="19"/>
      <c r="BJ47" s="22"/>
      <c r="BK47" s="19"/>
      <c r="BL47" s="22"/>
      <c r="BM47" s="19"/>
      <c r="BN47" s="21"/>
      <c r="BO47" s="21"/>
      <c r="BP47" s="19"/>
      <c r="BQ47" s="19"/>
      <c r="BR47" s="22"/>
      <c r="BS47" s="19"/>
      <c r="BT47" s="22"/>
      <c r="BU47" s="19"/>
      <c r="BV47" s="21"/>
      <c r="BW47" s="21"/>
      <c r="BX47" s="19"/>
      <c r="BY47" s="19"/>
      <c r="BZ47" s="22"/>
      <c r="CA47" s="19"/>
      <c r="CB47" s="22"/>
      <c r="CC47" s="19"/>
      <c r="CD47" s="21"/>
      <c r="CE47" s="21"/>
      <c r="CF47" s="19"/>
      <c r="CG47" s="19"/>
      <c r="CH47" s="22"/>
      <c r="CI47" s="19"/>
      <c r="CJ47" s="22"/>
      <c r="CK47" s="39"/>
      <c r="CL47" s="21"/>
      <c r="CM47" s="21"/>
      <c r="CN47" s="19"/>
      <c r="CO47" s="19"/>
      <c r="CP47" s="22"/>
      <c r="CQ47" s="39"/>
      <c r="CR47" s="22"/>
      <c r="CS47" s="39"/>
      <c r="CT47" s="21"/>
      <c r="CU47" s="21"/>
      <c r="CV47" s="19"/>
      <c r="CW47" s="19"/>
      <c r="CX47" s="22"/>
      <c r="CY47" s="39"/>
      <c r="CZ47" s="22"/>
      <c r="DA47" s="19"/>
      <c r="DB47" s="21"/>
      <c r="DC47" s="21"/>
      <c r="DD47" s="19"/>
      <c r="DE47" s="19"/>
      <c r="DF47" s="22" t="e">
        <f t="shared" si="37"/>
        <v>#DIV/0!</v>
      </c>
      <c r="DG47" s="19"/>
      <c r="DH47" s="19"/>
      <c r="DI47" s="29" t="e">
        <f t="shared" si="38"/>
        <v>#DIV/0!</v>
      </c>
      <c r="DJ47" s="27"/>
      <c r="DK47" s="27"/>
      <c r="DL47" s="23"/>
      <c r="DM47" s="19"/>
      <c r="DN47" s="19"/>
      <c r="DO47" s="19"/>
      <c r="DP47" s="24" t="e">
        <f t="shared" si="39"/>
        <v>#DIV/0!</v>
      </c>
      <c r="DQ47" s="28"/>
    </row>
    <row r="48" spans="1:121">
      <c r="A48" s="3"/>
      <c r="C48" s="19"/>
      <c r="D48" s="19"/>
      <c r="E48" s="19"/>
      <c r="F48" s="19"/>
      <c r="G48" s="19"/>
      <c r="H48" s="19"/>
      <c r="I48" s="19"/>
      <c r="J48" s="19"/>
      <c r="K48" s="30"/>
      <c r="L48" s="19"/>
      <c r="M48" s="19"/>
      <c r="N48" s="22"/>
      <c r="O48" s="39"/>
      <c r="P48" s="22"/>
      <c r="Q48" s="19"/>
      <c r="R48" s="20"/>
      <c r="S48" s="20"/>
      <c r="T48" s="19"/>
      <c r="U48" s="19"/>
      <c r="V48" s="22"/>
      <c r="W48" s="19"/>
      <c r="X48" s="22"/>
      <c r="Y48" s="19"/>
      <c r="Z48" s="21"/>
      <c r="AA48" s="21"/>
      <c r="AB48" s="19"/>
      <c r="AC48" s="19"/>
      <c r="AD48" s="22"/>
      <c r="AE48" s="19"/>
      <c r="AF48" s="22"/>
      <c r="AG48" s="19"/>
      <c r="AH48" s="21"/>
      <c r="AI48" s="21"/>
      <c r="AJ48" s="19"/>
      <c r="AK48" s="19"/>
      <c r="AL48" s="22"/>
      <c r="AM48" s="19"/>
      <c r="AN48" s="22"/>
      <c r="AO48" s="19"/>
      <c r="AP48" s="21"/>
      <c r="AQ48" s="21"/>
      <c r="AR48" s="19"/>
      <c r="AS48" s="19"/>
      <c r="AT48" s="22"/>
      <c r="AU48" s="19"/>
      <c r="AV48" s="22"/>
      <c r="AW48" s="19"/>
      <c r="AX48" s="21"/>
      <c r="AY48" s="21"/>
      <c r="AZ48" s="19"/>
      <c r="BA48" s="19"/>
      <c r="BB48" s="22"/>
      <c r="BC48" s="19"/>
      <c r="BD48" s="22"/>
      <c r="BE48" s="19"/>
      <c r="BF48" s="21"/>
      <c r="BG48" s="21"/>
      <c r="BH48" s="19"/>
      <c r="BI48" s="19"/>
      <c r="BJ48" s="22"/>
      <c r="BK48" s="19"/>
      <c r="BL48" s="22"/>
      <c r="BM48" s="19"/>
      <c r="BN48" s="21"/>
      <c r="BO48" s="21"/>
      <c r="BP48" s="19"/>
      <c r="BQ48" s="19"/>
      <c r="BR48" s="22"/>
      <c r="BS48" s="19"/>
      <c r="BT48" s="22"/>
      <c r="BU48" s="19"/>
      <c r="BV48" s="21"/>
      <c r="BW48" s="21"/>
      <c r="BX48" s="19"/>
      <c r="BY48" s="19"/>
      <c r="BZ48" s="22"/>
      <c r="CA48" s="19"/>
      <c r="CB48" s="22"/>
      <c r="CC48" s="19"/>
      <c r="CD48" s="21"/>
      <c r="CE48" s="21"/>
      <c r="CF48" s="19"/>
      <c r="CG48" s="19"/>
      <c r="CH48" s="22"/>
      <c r="CI48" s="19"/>
      <c r="CJ48" s="22"/>
      <c r="CK48" s="39"/>
      <c r="CL48" s="21"/>
      <c r="CM48" s="21"/>
      <c r="CN48" s="19"/>
      <c r="CO48" s="19"/>
      <c r="CP48" s="22"/>
      <c r="CQ48" s="39"/>
      <c r="CR48" s="22"/>
      <c r="CS48" s="39"/>
      <c r="CT48" s="21"/>
      <c r="CU48" s="21"/>
      <c r="CV48" s="19"/>
      <c r="CW48" s="19"/>
      <c r="CX48" s="22"/>
      <c r="CY48" s="39"/>
      <c r="CZ48" s="22"/>
      <c r="DA48" s="19"/>
      <c r="DB48" s="21"/>
      <c r="DC48" s="21"/>
      <c r="DD48" s="19"/>
      <c r="DE48" s="19"/>
      <c r="DF48" s="22" t="e">
        <f t="shared" si="37"/>
        <v>#DIV/0!</v>
      </c>
      <c r="DG48" s="19"/>
      <c r="DH48" s="19"/>
      <c r="DI48" s="29" t="e">
        <f t="shared" si="38"/>
        <v>#DIV/0!</v>
      </c>
      <c r="DJ48" s="27"/>
      <c r="DK48" s="27"/>
      <c r="DL48" s="23"/>
      <c r="DM48" s="19"/>
      <c r="DN48" s="19"/>
      <c r="DO48" s="19"/>
      <c r="DP48" s="24" t="e">
        <f t="shared" si="39"/>
        <v>#DIV/0!</v>
      </c>
      <c r="DQ48" s="28"/>
    </row>
    <row r="49" spans="1:121">
      <c r="A49" s="3"/>
      <c r="C49" s="19"/>
      <c r="D49" s="19"/>
      <c r="E49" s="19"/>
      <c r="F49" s="19"/>
      <c r="G49" s="19"/>
      <c r="H49" s="19"/>
      <c r="I49" s="19"/>
      <c r="J49" s="19"/>
      <c r="K49" s="30"/>
      <c r="L49" s="19"/>
      <c r="M49" s="19"/>
      <c r="N49" s="22"/>
      <c r="O49" s="39"/>
      <c r="P49" s="22"/>
      <c r="Q49" s="19"/>
      <c r="R49" s="20"/>
      <c r="S49" s="20"/>
      <c r="T49" s="19"/>
      <c r="U49" s="19"/>
      <c r="V49" s="22"/>
      <c r="W49" s="19"/>
      <c r="X49" s="22"/>
      <c r="Y49" s="19"/>
      <c r="Z49" s="21"/>
      <c r="AA49" s="21"/>
      <c r="AB49" s="19"/>
      <c r="AC49" s="19"/>
      <c r="AD49" s="22"/>
      <c r="AE49" s="19"/>
      <c r="AF49" s="22"/>
      <c r="AG49" s="19"/>
      <c r="AH49" s="21"/>
      <c r="AI49" s="21"/>
      <c r="AJ49" s="19"/>
      <c r="AK49" s="19"/>
      <c r="AL49" s="22"/>
      <c r="AM49" s="19"/>
      <c r="AN49" s="22"/>
      <c r="AO49" s="19"/>
      <c r="AP49" s="21"/>
      <c r="AQ49" s="21"/>
      <c r="AR49" s="19"/>
      <c r="AS49" s="19"/>
      <c r="AT49" s="22"/>
      <c r="AU49" s="19"/>
      <c r="AV49" s="22"/>
      <c r="AW49" s="19"/>
      <c r="AX49" s="21"/>
      <c r="AY49" s="21"/>
      <c r="AZ49" s="19"/>
      <c r="BA49" s="19"/>
      <c r="BB49" s="22"/>
      <c r="BC49" s="19"/>
      <c r="BD49" s="22"/>
      <c r="BE49" s="19"/>
      <c r="BF49" s="21"/>
      <c r="BG49" s="21"/>
      <c r="BH49" s="19"/>
      <c r="BI49" s="19"/>
      <c r="BJ49" s="22"/>
      <c r="BK49" s="19"/>
      <c r="BL49" s="22"/>
      <c r="BM49" s="19"/>
      <c r="BN49" s="21"/>
      <c r="BO49" s="21"/>
      <c r="BP49" s="19"/>
      <c r="BQ49" s="19"/>
      <c r="BR49" s="22"/>
      <c r="BS49" s="19"/>
      <c r="BT49" s="22"/>
      <c r="BU49" s="19"/>
      <c r="BV49" s="21"/>
      <c r="BW49" s="21"/>
      <c r="BX49" s="19"/>
      <c r="BY49" s="19"/>
      <c r="BZ49" s="22"/>
      <c r="CA49" s="19"/>
      <c r="CB49" s="22"/>
      <c r="CC49" s="19"/>
      <c r="CD49" s="21"/>
      <c r="CE49" s="21"/>
      <c r="CF49" s="19"/>
      <c r="CG49" s="19"/>
      <c r="CH49" s="22"/>
      <c r="CI49" s="19"/>
      <c r="CJ49" s="22"/>
      <c r="CK49" s="39"/>
      <c r="CL49" s="21"/>
      <c r="CM49" s="21"/>
      <c r="CN49" s="19"/>
      <c r="CO49" s="19"/>
      <c r="CP49" s="22"/>
      <c r="CQ49" s="39"/>
      <c r="CR49" s="22"/>
      <c r="CS49" s="39"/>
      <c r="CT49" s="21"/>
      <c r="CU49" s="21"/>
      <c r="CV49" s="19"/>
      <c r="CW49" s="19"/>
      <c r="CX49" s="22"/>
      <c r="CY49" s="39"/>
      <c r="CZ49" s="22"/>
      <c r="DA49" s="19"/>
      <c r="DB49" s="21"/>
      <c r="DC49" s="21"/>
      <c r="DD49" s="19"/>
      <c r="DE49" s="19"/>
      <c r="DF49" s="22" t="e">
        <f t="shared" si="37"/>
        <v>#DIV/0!</v>
      </c>
      <c r="DG49" s="19"/>
      <c r="DH49" s="19"/>
      <c r="DI49" s="29" t="e">
        <f t="shared" si="38"/>
        <v>#DIV/0!</v>
      </c>
      <c r="DJ49" s="27"/>
      <c r="DK49" s="27"/>
      <c r="DL49" s="23"/>
      <c r="DM49" s="19"/>
      <c r="DN49" s="19"/>
      <c r="DO49" s="19"/>
      <c r="DP49" s="24" t="e">
        <f t="shared" si="39"/>
        <v>#DIV/0!</v>
      </c>
      <c r="DQ49" s="28"/>
    </row>
    <row r="50" spans="1:121">
      <c r="A50" s="3"/>
      <c r="C50" s="19"/>
      <c r="D50" s="19"/>
      <c r="E50" s="19"/>
      <c r="F50" s="19"/>
      <c r="G50" s="19"/>
      <c r="H50" s="19"/>
      <c r="I50" s="19"/>
      <c r="J50" s="19"/>
      <c r="K50" s="30"/>
      <c r="L50" s="19"/>
      <c r="M50" s="19"/>
      <c r="N50" s="22"/>
      <c r="O50" s="39"/>
      <c r="P50" s="22"/>
      <c r="Q50" s="19"/>
      <c r="R50" s="20"/>
      <c r="S50" s="20"/>
      <c r="T50" s="19"/>
      <c r="U50" s="19"/>
      <c r="V50" s="22"/>
      <c r="W50" s="19"/>
      <c r="X50" s="22"/>
      <c r="Y50" s="19"/>
      <c r="Z50" s="21"/>
      <c r="AA50" s="21"/>
      <c r="AB50" s="19"/>
      <c r="AC50" s="19"/>
      <c r="AD50" s="22"/>
      <c r="AE50" s="19"/>
      <c r="AF50" s="22"/>
      <c r="AG50" s="19"/>
      <c r="AH50" s="21"/>
      <c r="AI50" s="21"/>
      <c r="AJ50" s="19"/>
      <c r="AK50" s="19"/>
      <c r="AL50" s="22"/>
      <c r="AM50" s="19"/>
      <c r="AN50" s="22"/>
      <c r="AO50" s="19"/>
      <c r="AP50" s="21"/>
      <c r="AQ50" s="21"/>
      <c r="AR50" s="19"/>
      <c r="AS50" s="19"/>
      <c r="AT50" s="22"/>
      <c r="AU50" s="19"/>
      <c r="AV50" s="22"/>
      <c r="AW50" s="19"/>
      <c r="AX50" s="21"/>
      <c r="AY50" s="21"/>
      <c r="AZ50" s="19"/>
      <c r="BA50" s="19"/>
      <c r="BB50" s="22"/>
      <c r="BC50" s="19"/>
      <c r="BD50" s="22"/>
      <c r="BE50" s="19"/>
      <c r="BF50" s="21"/>
      <c r="BG50" s="21"/>
      <c r="BH50" s="19"/>
      <c r="BI50" s="19"/>
      <c r="BJ50" s="22"/>
      <c r="BK50" s="19"/>
      <c r="BL50" s="22"/>
      <c r="BM50" s="19"/>
      <c r="BN50" s="21"/>
      <c r="BO50" s="21"/>
      <c r="BP50" s="19"/>
      <c r="BQ50" s="19"/>
      <c r="BR50" s="22"/>
      <c r="BS50" s="19"/>
      <c r="BT50" s="22"/>
      <c r="BU50" s="19"/>
      <c r="BV50" s="21"/>
      <c r="BW50" s="21"/>
      <c r="BX50" s="19"/>
      <c r="BY50" s="19"/>
      <c r="BZ50" s="22"/>
      <c r="CA50" s="19"/>
      <c r="CB50" s="22"/>
      <c r="CC50" s="19"/>
      <c r="CD50" s="21"/>
      <c r="CE50" s="21"/>
      <c r="CF50" s="19"/>
      <c r="CG50" s="19"/>
      <c r="CH50" s="22"/>
      <c r="CI50" s="19"/>
      <c r="CJ50" s="22"/>
      <c r="CK50" s="39"/>
      <c r="CL50" s="21"/>
      <c r="CM50" s="21"/>
      <c r="CN50" s="19"/>
      <c r="CO50" s="19"/>
      <c r="CP50" s="22"/>
      <c r="CQ50" s="39"/>
      <c r="CR50" s="22"/>
      <c r="CS50" s="39"/>
      <c r="CT50" s="21"/>
      <c r="CU50" s="21"/>
      <c r="CV50" s="19"/>
      <c r="CW50" s="19"/>
      <c r="CX50" s="22"/>
      <c r="CY50" s="39"/>
      <c r="CZ50" s="22"/>
      <c r="DA50" s="19"/>
      <c r="DB50" s="21"/>
      <c r="DC50" s="21"/>
      <c r="DD50" s="19"/>
      <c r="DE50" s="19"/>
      <c r="DF50" s="22" t="e">
        <f t="shared" si="37"/>
        <v>#DIV/0!</v>
      </c>
      <c r="DG50" s="19"/>
      <c r="DH50" s="19"/>
      <c r="DI50" s="29" t="e">
        <f t="shared" si="38"/>
        <v>#DIV/0!</v>
      </c>
      <c r="DJ50" s="27"/>
      <c r="DK50" s="27"/>
      <c r="DL50" s="23"/>
      <c r="DM50" s="19"/>
      <c r="DN50" s="19"/>
      <c r="DO50" s="19"/>
      <c r="DP50" s="24" t="e">
        <f t="shared" si="39"/>
        <v>#DIV/0!</v>
      </c>
      <c r="DQ50" s="28"/>
    </row>
    <row r="51" spans="1:121">
      <c r="A51" s="3"/>
      <c r="C51" s="19"/>
      <c r="D51" s="19"/>
      <c r="E51" s="19"/>
      <c r="F51" s="19"/>
      <c r="G51" s="19"/>
      <c r="H51" s="19"/>
      <c r="I51" s="19"/>
      <c r="J51" s="19"/>
      <c r="K51" s="30"/>
      <c r="L51" s="19"/>
      <c r="M51" s="19"/>
      <c r="N51" s="22"/>
      <c r="O51" s="39"/>
      <c r="P51" s="22"/>
      <c r="Q51" s="19"/>
      <c r="R51" s="20"/>
      <c r="S51" s="20"/>
      <c r="T51" s="19"/>
      <c r="U51" s="19"/>
      <c r="V51" s="22"/>
      <c r="W51" s="19"/>
      <c r="X51" s="22"/>
      <c r="Y51" s="19"/>
      <c r="Z51" s="21"/>
      <c r="AA51" s="21"/>
      <c r="AB51" s="19"/>
      <c r="AC51" s="19"/>
      <c r="AD51" s="22"/>
      <c r="AE51" s="19"/>
      <c r="AF51" s="22"/>
      <c r="AG51" s="19"/>
      <c r="AH51" s="21"/>
      <c r="AI51" s="21"/>
      <c r="AJ51" s="19"/>
      <c r="AK51" s="19"/>
      <c r="AL51" s="22"/>
      <c r="AM51" s="19"/>
      <c r="AN51" s="22"/>
      <c r="AO51" s="19"/>
      <c r="AP51" s="21"/>
      <c r="AQ51" s="21"/>
      <c r="AR51" s="19"/>
      <c r="AS51" s="19"/>
      <c r="AT51" s="22"/>
      <c r="AU51" s="19"/>
      <c r="AV51" s="22"/>
      <c r="AW51" s="19"/>
      <c r="AX51" s="21"/>
      <c r="AY51" s="21"/>
      <c r="AZ51" s="19"/>
      <c r="BA51" s="19"/>
      <c r="BB51" s="22"/>
      <c r="BC51" s="19"/>
      <c r="BD51" s="22"/>
      <c r="BE51" s="19"/>
      <c r="BF51" s="21"/>
      <c r="BG51" s="21"/>
      <c r="BH51" s="19"/>
      <c r="BI51" s="19"/>
      <c r="BJ51" s="22"/>
      <c r="BK51" s="19"/>
      <c r="BL51" s="22"/>
      <c r="BM51" s="19"/>
      <c r="BN51" s="21"/>
      <c r="BO51" s="21"/>
      <c r="BP51" s="19"/>
      <c r="BQ51" s="19"/>
      <c r="BR51" s="22"/>
      <c r="BS51" s="19"/>
      <c r="BT51" s="22"/>
      <c r="BU51" s="19"/>
      <c r="BV51" s="21"/>
      <c r="BW51" s="21"/>
      <c r="BX51" s="19"/>
      <c r="BY51" s="19"/>
      <c r="BZ51" s="22"/>
      <c r="CA51" s="19"/>
      <c r="CB51" s="22"/>
      <c r="CC51" s="19"/>
      <c r="CD51" s="21"/>
      <c r="CE51" s="21"/>
      <c r="CF51" s="19"/>
      <c r="CG51" s="19"/>
      <c r="CH51" s="22"/>
      <c r="CI51" s="19"/>
      <c r="CJ51" s="22"/>
      <c r="CK51" s="39"/>
      <c r="CL51" s="21"/>
      <c r="CM51" s="21"/>
      <c r="CN51" s="19"/>
      <c r="CO51" s="19"/>
      <c r="CP51" s="22"/>
      <c r="CQ51" s="39"/>
      <c r="CR51" s="22"/>
      <c r="CS51" s="39"/>
      <c r="CT51" s="21"/>
      <c r="CU51" s="21"/>
      <c r="CV51" s="19"/>
      <c r="CW51" s="19"/>
      <c r="CX51" s="22"/>
      <c r="CY51" s="39"/>
      <c r="CZ51" s="22"/>
      <c r="DA51" s="19"/>
      <c r="DB51" s="21"/>
      <c r="DC51" s="21"/>
      <c r="DD51" s="19"/>
      <c r="DE51" s="19"/>
      <c r="DF51" s="22" t="e">
        <f t="shared" si="37"/>
        <v>#DIV/0!</v>
      </c>
      <c r="DG51" s="19"/>
      <c r="DH51" s="19"/>
      <c r="DI51" s="29" t="e">
        <f t="shared" si="38"/>
        <v>#DIV/0!</v>
      </c>
      <c r="DJ51" s="27"/>
      <c r="DK51" s="27"/>
      <c r="DL51" s="23"/>
      <c r="DM51" s="19"/>
      <c r="DN51" s="19"/>
      <c r="DO51" s="19"/>
      <c r="DP51" s="24" t="e">
        <f t="shared" si="39"/>
        <v>#DIV/0!</v>
      </c>
      <c r="DQ51" s="28"/>
    </row>
    <row r="52" spans="1:121">
      <c r="A52" s="3"/>
      <c r="C52" s="19"/>
      <c r="D52" s="19"/>
      <c r="E52" s="19"/>
      <c r="F52" s="19"/>
      <c r="G52" s="19"/>
      <c r="H52" s="19"/>
      <c r="I52" s="19"/>
      <c r="J52" s="19"/>
      <c r="K52" s="30"/>
      <c r="L52" s="19"/>
      <c r="M52" s="19"/>
      <c r="N52" s="22"/>
      <c r="O52" s="39"/>
      <c r="P52" s="22"/>
      <c r="Q52" s="19"/>
      <c r="R52" s="20"/>
      <c r="S52" s="20"/>
      <c r="T52" s="19"/>
      <c r="U52" s="19"/>
      <c r="V52" s="22"/>
      <c r="W52" s="19"/>
      <c r="X52" s="22"/>
      <c r="Y52" s="19"/>
      <c r="Z52" s="21"/>
      <c r="AA52" s="21"/>
      <c r="AB52" s="19"/>
      <c r="AC52" s="19"/>
      <c r="AD52" s="22"/>
      <c r="AE52" s="19"/>
      <c r="AF52" s="22"/>
      <c r="AG52" s="19"/>
      <c r="AH52" s="21"/>
      <c r="AI52" s="21"/>
      <c r="AJ52" s="19"/>
      <c r="AK52" s="19"/>
      <c r="AL52" s="22"/>
      <c r="AM52" s="19"/>
      <c r="AN52" s="22"/>
      <c r="AO52" s="19"/>
      <c r="AP52" s="21"/>
      <c r="AQ52" s="21"/>
      <c r="AR52" s="19"/>
      <c r="AS52" s="19"/>
      <c r="AT52" s="22"/>
      <c r="AU52" s="19"/>
      <c r="AV52" s="22"/>
      <c r="AW52" s="19"/>
      <c r="AX52" s="21"/>
      <c r="AY52" s="21"/>
      <c r="AZ52" s="19"/>
      <c r="BA52" s="19"/>
      <c r="BB52" s="22"/>
      <c r="BC52" s="19"/>
      <c r="BD52" s="22"/>
      <c r="BE52" s="19"/>
      <c r="BF52" s="21"/>
      <c r="BG52" s="21"/>
      <c r="BH52" s="19"/>
      <c r="BI52" s="19"/>
      <c r="BJ52" s="22"/>
      <c r="BK52" s="19"/>
      <c r="BL52" s="22"/>
      <c r="BM52" s="19"/>
      <c r="BN52" s="21"/>
      <c r="BO52" s="21"/>
      <c r="BP52" s="19"/>
      <c r="BQ52" s="19"/>
      <c r="BR52" s="22"/>
      <c r="BS52" s="19"/>
      <c r="BT52" s="22"/>
      <c r="BU52" s="19"/>
      <c r="BV52" s="21"/>
      <c r="BW52" s="21"/>
      <c r="BX52" s="19"/>
      <c r="BY52" s="19"/>
      <c r="BZ52" s="22"/>
      <c r="CA52" s="19"/>
      <c r="CB52" s="22"/>
      <c r="CC52" s="19"/>
      <c r="CD52" s="21"/>
      <c r="CE52" s="21"/>
      <c r="CF52" s="19"/>
      <c r="CG52" s="19"/>
      <c r="CH52" s="22"/>
      <c r="CI52" s="19"/>
      <c r="CJ52" s="22"/>
      <c r="CK52" s="39"/>
      <c r="CL52" s="21"/>
      <c r="CM52" s="21"/>
      <c r="CN52" s="19"/>
      <c r="CO52" s="19"/>
      <c r="CP52" s="22"/>
      <c r="CQ52" s="39"/>
      <c r="CR52" s="22"/>
      <c r="CS52" s="39"/>
      <c r="CT52" s="21"/>
      <c r="CU52" s="21"/>
      <c r="CV52" s="19"/>
      <c r="CW52" s="19"/>
      <c r="CX52" s="22"/>
      <c r="CY52" s="39"/>
      <c r="CZ52" s="22"/>
      <c r="DA52" s="19"/>
      <c r="DB52" s="21"/>
      <c r="DC52" s="21"/>
      <c r="DD52" s="19"/>
      <c r="DE52" s="19"/>
      <c r="DF52" s="22" t="e">
        <f t="shared" si="37"/>
        <v>#DIV/0!</v>
      </c>
      <c r="DG52" s="19"/>
      <c r="DH52" s="19"/>
      <c r="DI52" s="29" t="e">
        <f t="shared" si="38"/>
        <v>#DIV/0!</v>
      </c>
      <c r="DJ52" s="27"/>
      <c r="DK52" s="27"/>
      <c r="DL52" s="23"/>
      <c r="DM52" s="19"/>
      <c r="DN52" s="19"/>
      <c r="DO52" s="19"/>
      <c r="DP52" s="24" t="e">
        <f t="shared" si="39"/>
        <v>#DIV/0!</v>
      </c>
      <c r="DQ52" s="28"/>
    </row>
    <row r="53" spans="1:121">
      <c r="A53" s="3"/>
      <c r="C53" s="19"/>
      <c r="D53" s="19"/>
      <c r="E53" s="19"/>
      <c r="F53" s="19"/>
      <c r="G53" s="19"/>
      <c r="H53" s="19"/>
      <c r="I53" s="19"/>
      <c r="J53" s="19"/>
      <c r="K53" s="30"/>
      <c r="L53" s="19"/>
      <c r="M53" s="19"/>
      <c r="N53" s="22"/>
      <c r="O53" s="39"/>
      <c r="P53" s="22"/>
      <c r="Q53" s="19"/>
      <c r="R53" s="20"/>
      <c r="S53" s="20"/>
      <c r="T53" s="19"/>
      <c r="U53" s="19"/>
      <c r="V53" s="22"/>
      <c r="W53" s="19"/>
      <c r="X53" s="22"/>
      <c r="Y53" s="19"/>
      <c r="Z53" s="21"/>
      <c r="AA53" s="21"/>
      <c r="AB53" s="19"/>
      <c r="AC53" s="19"/>
      <c r="AD53" s="22"/>
      <c r="AE53" s="19"/>
      <c r="AF53" s="22"/>
      <c r="AG53" s="19"/>
      <c r="AH53" s="21"/>
      <c r="AI53" s="21"/>
      <c r="AJ53" s="19"/>
      <c r="AK53" s="19"/>
      <c r="AL53" s="22"/>
      <c r="AM53" s="19"/>
      <c r="AN53" s="22"/>
      <c r="AO53" s="19"/>
      <c r="AP53" s="21"/>
      <c r="AQ53" s="21"/>
      <c r="AR53" s="19"/>
      <c r="AS53" s="19"/>
      <c r="AT53" s="22"/>
      <c r="AU53" s="19"/>
      <c r="AV53" s="22"/>
      <c r="AW53" s="19"/>
      <c r="AX53" s="21"/>
      <c r="AY53" s="21"/>
      <c r="AZ53" s="19"/>
      <c r="BA53" s="19"/>
      <c r="BB53" s="22"/>
      <c r="BC53" s="19"/>
      <c r="BD53" s="22"/>
      <c r="BE53" s="19"/>
      <c r="BF53" s="21"/>
      <c r="BG53" s="21"/>
      <c r="BH53" s="19"/>
      <c r="BI53" s="19"/>
      <c r="BJ53" s="22"/>
      <c r="BK53" s="19"/>
      <c r="BL53" s="22"/>
      <c r="BM53" s="19"/>
      <c r="BN53" s="21"/>
      <c r="BO53" s="21"/>
      <c r="BP53" s="19"/>
      <c r="BQ53" s="19"/>
      <c r="BR53" s="22"/>
      <c r="BS53" s="19"/>
      <c r="BT53" s="22"/>
      <c r="BU53" s="19"/>
      <c r="BV53" s="21"/>
      <c r="BW53" s="21"/>
      <c r="BX53" s="19"/>
      <c r="BY53" s="19"/>
      <c r="BZ53" s="22"/>
      <c r="CA53" s="19"/>
      <c r="CB53" s="22"/>
      <c r="CC53" s="19"/>
      <c r="CD53" s="21"/>
      <c r="CE53" s="21"/>
      <c r="CF53" s="19"/>
      <c r="CG53" s="19"/>
      <c r="CH53" s="22"/>
      <c r="CI53" s="19"/>
      <c r="CJ53" s="22"/>
      <c r="CK53" s="39"/>
      <c r="CL53" s="21"/>
      <c r="CM53" s="21"/>
      <c r="CN53" s="19"/>
      <c r="CO53" s="19"/>
      <c r="CP53" s="22"/>
      <c r="CQ53" s="39"/>
      <c r="CR53" s="22"/>
      <c r="CS53" s="39"/>
      <c r="CT53" s="21"/>
      <c r="CU53" s="21"/>
      <c r="CV53" s="19"/>
      <c r="CW53" s="19"/>
      <c r="CX53" s="22"/>
      <c r="CY53" s="39"/>
      <c r="CZ53" s="22"/>
      <c r="DA53" s="19"/>
      <c r="DB53" s="21"/>
      <c r="DC53" s="21"/>
      <c r="DD53" s="19"/>
      <c r="DE53" s="19"/>
      <c r="DF53" s="22" t="e">
        <f t="shared" si="37"/>
        <v>#DIV/0!</v>
      </c>
      <c r="DG53" s="19"/>
      <c r="DH53" s="19"/>
      <c r="DI53" s="29" t="e">
        <f t="shared" si="38"/>
        <v>#DIV/0!</v>
      </c>
      <c r="DJ53" s="27"/>
      <c r="DK53" s="27"/>
      <c r="DL53" s="23"/>
      <c r="DM53" s="19"/>
      <c r="DN53" s="19"/>
      <c r="DO53" s="19"/>
      <c r="DP53" s="24" t="e">
        <f t="shared" si="39"/>
        <v>#DIV/0!</v>
      </c>
      <c r="DQ53" s="28"/>
    </row>
    <row r="54" spans="1:121">
      <c r="A54" s="3"/>
      <c r="C54" s="19"/>
      <c r="D54" s="19"/>
      <c r="E54" s="19"/>
      <c r="F54" s="19"/>
      <c r="G54" s="19"/>
      <c r="H54" s="19"/>
      <c r="I54" s="19"/>
      <c r="J54" s="19"/>
      <c r="K54" s="30"/>
      <c r="L54" s="19"/>
      <c r="M54" s="19"/>
      <c r="N54" s="22"/>
      <c r="O54" s="39"/>
      <c r="P54" s="22"/>
      <c r="Q54" s="19"/>
      <c r="R54" s="20"/>
      <c r="S54" s="20"/>
      <c r="T54" s="19"/>
      <c r="U54" s="19"/>
      <c r="V54" s="22"/>
      <c r="W54" s="19"/>
      <c r="X54" s="22"/>
      <c r="Y54" s="19"/>
      <c r="Z54" s="21"/>
      <c r="AA54" s="21"/>
      <c r="AB54" s="19"/>
      <c r="AC54" s="19"/>
      <c r="AD54" s="22"/>
      <c r="AE54" s="19"/>
      <c r="AF54" s="22"/>
      <c r="AG54" s="19"/>
      <c r="AH54" s="21"/>
      <c r="AI54" s="21"/>
      <c r="AJ54" s="19"/>
      <c r="AK54" s="19"/>
      <c r="AL54" s="22"/>
      <c r="AM54" s="19"/>
      <c r="AN54" s="22"/>
      <c r="AO54" s="19"/>
      <c r="AP54" s="21"/>
      <c r="AQ54" s="21"/>
      <c r="AR54" s="19"/>
      <c r="AS54" s="19"/>
      <c r="AT54" s="22"/>
      <c r="AU54" s="19"/>
      <c r="AV54" s="22"/>
      <c r="AW54" s="19"/>
      <c r="AX54" s="21"/>
      <c r="AY54" s="21"/>
      <c r="AZ54" s="19"/>
      <c r="BA54" s="19"/>
      <c r="BB54" s="22"/>
      <c r="BC54" s="19"/>
      <c r="BD54" s="22"/>
      <c r="BE54" s="19"/>
      <c r="BF54" s="21"/>
      <c r="BG54" s="21"/>
      <c r="BH54" s="19"/>
      <c r="BI54" s="19"/>
      <c r="BJ54" s="22"/>
      <c r="BK54" s="19"/>
      <c r="BL54" s="22"/>
      <c r="BM54" s="19"/>
      <c r="BN54" s="21"/>
      <c r="BO54" s="21"/>
      <c r="BP54" s="19"/>
      <c r="BQ54" s="19"/>
      <c r="BR54" s="22"/>
      <c r="BS54" s="19"/>
      <c r="BT54" s="22"/>
      <c r="BU54" s="19"/>
      <c r="BV54" s="21"/>
      <c r="BW54" s="21"/>
      <c r="BX54" s="19"/>
      <c r="BY54" s="19"/>
      <c r="BZ54" s="22"/>
      <c r="CA54" s="19"/>
      <c r="CB54" s="22"/>
      <c r="CC54" s="19"/>
      <c r="CD54" s="21"/>
      <c r="CE54" s="21"/>
      <c r="CF54" s="19"/>
      <c r="CG54" s="19"/>
      <c r="CH54" s="22"/>
      <c r="CI54" s="19"/>
      <c r="CJ54" s="22"/>
      <c r="CK54" s="39"/>
      <c r="CL54" s="21"/>
      <c r="CM54" s="21"/>
      <c r="CN54" s="19"/>
      <c r="CO54" s="19"/>
      <c r="CP54" s="22"/>
      <c r="CQ54" s="39"/>
      <c r="CR54" s="22"/>
      <c r="CS54" s="39"/>
      <c r="CT54" s="21"/>
      <c r="CU54" s="21"/>
      <c r="CV54" s="19"/>
      <c r="CW54" s="19"/>
      <c r="CX54" s="22"/>
      <c r="CY54" s="39"/>
      <c r="CZ54" s="22"/>
      <c r="DA54" s="19"/>
      <c r="DB54" s="21"/>
      <c r="DC54" s="21"/>
      <c r="DD54" s="19"/>
      <c r="DE54" s="19"/>
      <c r="DF54" s="22" t="e">
        <f t="shared" si="37"/>
        <v>#DIV/0!</v>
      </c>
      <c r="DG54" s="19"/>
      <c r="DH54" s="19"/>
      <c r="DI54" s="29" t="e">
        <f t="shared" si="38"/>
        <v>#DIV/0!</v>
      </c>
      <c r="DJ54" s="27"/>
      <c r="DK54" s="27"/>
      <c r="DL54" s="23"/>
      <c r="DM54" s="19"/>
      <c r="DN54" s="19"/>
      <c r="DO54" s="19"/>
      <c r="DP54" s="24" t="e">
        <f t="shared" si="39"/>
        <v>#DIV/0!</v>
      </c>
      <c r="DQ54" s="28"/>
    </row>
    <row r="55" spans="1:121">
      <c r="A55" s="3"/>
      <c r="C55" s="19"/>
      <c r="D55" s="19"/>
      <c r="E55" s="19"/>
      <c r="F55" s="19"/>
      <c r="G55" s="19"/>
      <c r="H55" s="19"/>
      <c r="I55" s="19"/>
      <c r="J55" s="19"/>
      <c r="K55" s="30"/>
      <c r="L55" s="19"/>
      <c r="M55" s="19"/>
      <c r="N55" s="22"/>
      <c r="O55" s="39"/>
      <c r="P55" s="22"/>
      <c r="Q55" s="19"/>
      <c r="R55" s="20"/>
      <c r="S55" s="20"/>
      <c r="T55" s="19"/>
      <c r="U55" s="19"/>
      <c r="V55" s="22"/>
      <c r="W55" s="19"/>
      <c r="X55" s="22"/>
      <c r="Y55" s="19"/>
      <c r="Z55" s="21"/>
      <c r="AA55" s="21"/>
      <c r="AB55" s="19"/>
      <c r="AC55" s="19"/>
      <c r="AD55" s="22"/>
      <c r="AE55" s="19"/>
      <c r="AF55" s="22"/>
      <c r="AG55" s="19"/>
      <c r="AH55" s="21"/>
      <c r="AI55" s="21"/>
      <c r="AJ55" s="19"/>
      <c r="AK55" s="19"/>
      <c r="AL55" s="22"/>
      <c r="AM55" s="19"/>
      <c r="AN55" s="22"/>
      <c r="AO55" s="19"/>
      <c r="AP55" s="21"/>
      <c r="AQ55" s="21"/>
      <c r="AR55" s="19"/>
      <c r="AS55" s="19"/>
      <c r="AT55" s="22"/>
      <c r="AU55" s="19"/>
      <c r="AV55" s="22"/>
      <c r="AW55" s="19"/>
      <c r="AX55" s="21"/>
      <c r="AY55" s="21"/>
      <c r="AZ55" s="19"/>
      <c r="BA55" s="19"/>
      <c r="BB55" s="22"/>
      <c r="BC55" s="19"/>
      <c r="BD55" s="22"/>
      <c r="BE55" s="19"/>
      <c r="BF55" s="21"/>
      <c r="BG55" s="21"/>
      <c r="BH55" s="19"/>
      <c r="BI55" s="19"/>
      <c r="BJ55" s="22"/>
      <c r="BK55" s="19"/>
      <c r="BL55" s="22"/>
      <c r="BM55" s="19"/>
      <c r="BN55" s="21"/>
      <c r="BO55" s="21"/>
      <c r="BP55" s="19"/>
      <c r="BQ55" s="19"/>
      <c r="BR55" s="22"/>
      <c r="BS55" s="19"/>
      <c r="BT55" s="22"/>
      <c r="BU55" s="19"/>
      <c r="BV55" s="21"/>
      <c r="BW55" s="21"/>
      <c r="BX55" s="19"/>
      <c r="BY55" s="19"/>
      <c r="BZ55" s="22"/>
      <c r="CA55" s="19"/>
      <c r="CB55" s="22"/>
      <c r="CC55" s="19"/>
      <c r="CD55" s="21"/>
      <c r="CE55" s="21"/>
      <c r="CF55" s="19"/>
      <c r="CG55" s="19"/>
      <c r="CH55" s="22"/>
      <c r="CI55" s="19"/>
      <c r="CJ55" s="22"/>
      <c r="CK55" s="39"/>
      <c r="CL55" s="21"/>
      <c r="CM55" s="21"/>
      <c r="CN55" s="19"/>
      <c r="CO55" s="19"/>
      <c r="CP55" s="22"/>
      <c r="CQ55" s="39"/>
      <c r="CR55" s="22"/>
      <c r="CS55" s="39"/>
      <c r="CT55" s="21"/>
      <c r="CU55" s="21"/>
      <c r="CV55" s="19"/>
      <c r="CW55" s="19"/>
      <c r="CX55" s="22"/>
      <c r="CY55" s="39"/>
      <c r="CZ55" s="22"/>
      <c r="DA55" s="19"/>
      <c r="DB55" s="21"/>
      <c r="DC55" s="21"/>
      <c r="DD55" s="19"/>
      <c r="DE55" s="19"/>
      <c r="DF55" s="22" t="e">
        <f t="shared" si="37"/>
        <v>#DIV/0!</v>
      </c>
      <c r="DG55" s="19"/>
      <c r="DH55" s="19"/>
      <c r="DI55" s="29" t="e">
        <f t="shared" si="38"/>
        <v>#DIV/0!</v>
      </c>
      <c r="DJ55" s="27"/>
      <c r="DK55" s="27"/>
      <c r="DL55" s="23"/>
      <c r="DM55" s="19"/>
      <c r="DN55" s="19"/>
      <c r="DO55" s="19"/>
      <c r="DP55" s="24" t="e">
        <f t="shared" si="39"/>
        <v>#DIV/0!</v>
      </c>
      <c r="DQ55" s="28"/>
    </row>
    <row r="56" spans="1:121">
      <c r="A56" s="3"/>
      <c r="C56" s="19"/>
      <c r="D56" s="19"/>
      <c r="E56" s="19"/>
      <c r="F56" s="19"/>
      <c r="G56" s="19"/>
      <c r="H56" s="19"/>
      <c r="I56" s="19"/>
      <c r="J56" s="19"/>
      <c r="K56" s="30"/>
      <c r="L56" s="19"/>
      <c r="M56" s="19"/>
      <c r="N56" s="22"/>
      <c r="O56" s="39"/>
      <c r="P56" s="22"/>
      <c r="Q56" s="19"/>
      <c r="R56" s="20"/>
      <c r="S56" s="20"/>
      <c r="T56" s="19"/>
      <c r="U56" s="19"/>
      <c r="V56" s="22"/>
      <c r="W56" s="19"/>
      <c r="X56" s="22"/>
      <c r="Y56" s="19"/>
      <c r="Z56" s="21"/>
      <c r="AA56" s="21"/>
      <c r="AB56" s="19"/>
      <c r="AC56" s="19"/>
      <c r="AD56" s="22"/>
      <c r="AE56" s="19"/>
      <c r="AF56" s="22"/>
      <c r="AG56" s="19"/>
      <c r="AH56" s="21"/>
      <c r="AI56" s="21"/>
      <c r="AJ56" s="19"/>
      <c r="AK56" s="19"/>
      <c r="AL56" s="22"/>
      <c r="AM56" s="19"/>
      <c r="AN56" s="22"/>
      <c r="AO56" s="19"/>
      <c r="AP56" s="21"/>
      <c r="AQ56" s="21"/>
      <c r="AR56" s="19"/>
      <c r="AS56" s="19"/>
      <c r="AT56" s="22"/>
      <c r="AU56" s="19"/>
      <c r="AV56" s="22"/>
      <c r="AW56" s="19"/>
      <c r="AX56" s="21"/>
      <c r="AY56" s="21"/>
      <c r="AZ56" s="19"/>
      <c r="BA56" s="19"/>
      <c r="BB56" s="22"/>
      <c r="BC56" s="19"/>
      <c r="BD56" s="22"/>
      <c r="BE56" s="19"/>
      <c r="BF56" s="21"/>
      <c r="BG56" s="21"/>
      <c r="BH56" s="19"/>
      <c r="BI56" s="19"/>
      <c r="BJ56" s="22"/>
      <c r="BK56" s="19"/>
      <c r="BL56" s="22"/>
      <c r="BM56" s="19"/>
      <c r="BN56" s="21"/>
      <c r="BO56" s="21"/>
      <c r="BP56" s="19"/>
      <c r="BQ56" s="19"/>
      <c r="BR56" s="22"/>
      <c r="BS56" s="19"/>
      <c r="BT56" s="22"/>
      <c r="BU56" s="19"/>
      <c r="BV56" s="21"/>
      <c r="BW56" s="21"/>
      <c r="BX56" s="19"/>
      <c r="BY56" s="19"/>
      <c r="BZ56" s="22"/>
      <c r="CA56" s="19"/>
      <c r="CB56" s="22"/>
      <c r="CC56" s="19"/>
      <c r="CD56" s="21"/>
      <c r="CE56" s="21"/>
      <c r="CF56" s="19"/>
      <c r="CG56" s="19"/>
      <c r="CH56" s="22"/>
      <c r="CI56" s="19"/>
      <c r="CJ56" s="22"/>
      <c r="CK56" s="39"/>
      <c r="CL56" s="21"/>
      <c r="CM56" s="21"/>
      <c r="CN56" s="19"/>
      <c r="CO56" s="19"/>
      <c r="CP56" s="22"/>
      <c r="CQ56" s="39"/>
      <c r="CR56" s="22"/>
      <c r="CS56" s="39"/>
      <c r="CT56" s="21"/>
      <c r="CU56" s="21"/>
      <c r="CV56" s="19"/>
      <c r="CW56" s="19"/>
      <c r="CX56" s="22"/>
      <c r="CY56" s="39"/>
      <c r="CZ56" s="22"/>
      <c r="DA56" s="19"/>
      <c r="DB56" s="21"/>
      <c r="DC56" s="21"/>
      <c r="DD56" s="19"/>
      <c r="DE56" s="19"/>
      <c r="DF56" s="22" t="e">
        <f t="shared" si="37"/>
        <v>#DIV/0!</v>
      </c>
      <c r="DG56" s="19"/>
      <c r="DH56" s="19"/>
      <c r="DI56" s="29" t="e">
        <f t="shared" si="38"/>
        <v>#DIV/0!</v>
      </c>
      <c r="DJ56" s="27"/>
      <c r="DK56" s="27"/>
      <c r="DL56" s="23"/>
      <c r="DM56" s="19"/>
      <c r="DN56" s="19"/>
      <c r="DO56" s="19"/>
      <c r="DP56" s="24" t="e">
        <f t="shared" si="39"/>
        <v>#DIV/0!</v>
      </c>
      <c r="DQ56" s="28"/>
    </row>
    <row r="57" spans="1:121">
      <c r="A57" s="3"/>
      <c r="C57" s="19"/>
      <c r="D57" s="19"/>
      <c r="E57" s="19"/>
      <c r="F57" s="19"/>
      <c r="G57" s="19"/>
      <c r="H57" s="19"/>
      <c r="I57" s="19"/>
      <c r="J57" s="19"/>
      <c r="K57" s="30"/>
      <c r="L57" s="19"/>
      <c r="M57" s="19"/>
      <c r="N57" s="22"/>
      <c r="O57" s="39"/>
      <c r="P57" s="22"/>
      <c r="Q57" s="19"/>
      <c r="R57" s="20"/>
      <c r="S57" s="20"/>
      <c r="T57" s="19"/>
      <c r="U57" s="19"/>
      <c r="V57" s="22"/>
      <c r="W57" s="19"/>
      <c r="X57" s="22"/>
      <c r="Y57" s="19"/>
      <c r="Z57" s="21"/>
      <c r="AA57" s="21"/>
      <c r="AB57" s="19"/>
      <c r="AC57" s="19"/>
      <c r="AD57" s="22"/>
      <c r="AE57" s="19"/>
      <c r="AF57" s="22"/>
      <c r="AG57" s="19"/>
      <c r="AH57" s="21"/>
      <c r="AI57" s="21"/>
      <c r="AJ57" s="19"/>
      <c r="AK57" s="19"/>
      <c r="AL57" s="22"/>
      <c r="AM57" s="19"/>
      <c r="AN57" s="22"/>
      <c r="AO57" s="19"/>
      <c r="AP57" s="21"/>
      <c r="AQ57" s="21"/>
      <c r="AR57" s="19"/>
      <c r="AS57" s="19"/>
      <c r="AT57" s="22"/>
      <c r="AU57" s="19"/>
      <c r="AV57" s="22"/>
      <c r="AW57" s="19"/>
      <c r="AX57" s="21"/>
      <c r="AY57" s="21"/>
      <c r="AZ57" s="19"/>
      <c r="BA57" s="19"/>
      <c r="BB57" s="22"/>
      <c r="BC57" s="19"/>
      <c r="BD57" s="22"/>
      <c r="BE57" s="19"/>
      <c r="BF57" s="21"/>
      <c r="BG57" s="21"/>
      <c r="BH57" s="19"/>
      <c r="BI57" s="19"/>
      <c r="BJ57" s="22"/>
      <c r="BK57" s="19"/>
      <c r="BL57" s="22"/>
      <c r="BM57" s="19"/>
      <c r="BN57" s="21"/>
      <c r="BO57" s="21"/>
      <c r="BP57" s="19"/>
      <c r="BQ57" s="19"/>
      <c r="BR57" s="22"/>
      <c r="BS57" s="19"/>
      <c r="BT57" s="22"/>
      <c r="BU57" s="19"/>
      <c r="BV57" s="21"/>
      <c r="BW57" s="21"/>
      <c r="BX57" s="19"/>
      <c r="BY57" s="19"/>
      <c r="BZ57" s="22"/>
      <c r="CA57" s="19"/>
      <c r="CB57" s="22"/>
      <c r="CC57" s="19"/>
      <c r="CD57" s="21"/>
      <c r="CE57" s="21"/>
      <c r="CF57" s="19"/>
      <c r="CG57" s="19"/>
      <c r="CH57" s="22"/>
      <c r="CI57" s="19"/>
      <c r="CJ57" s="22"/>
      <c r="CK57" s="39"/>
      <c r="CL57" s="21"/>
      <c r="CM57" s="21"/>
      <c r="CN57" s="19"/>
      <c r="CO57" s="19"/>
      <c r="CP57" s="22"/>
      <c r="CQ57" s="39"/>
      <c r="CR57" s="22"/>
      <c r="CS57" s="39"/>
      <c r="CT57" s="21"/>
      <c r="CU57" s="21"/>
      <c r="CV57" s="19"/>
      <c r="CW57" s="19"/>
      <c r="CX57" s="22"/>
      <c r="CY57" s="39"/>
      <c r="CZ57" s="22"/>
      <c r="DA57" s="19"/>
      <c r="DB57" s="21"/>
      <c r="DC57" s="21"/>
      <c r="DD57" s="19"/>
      <c r="DE57" s="19"/>
      <c r="DF57" s="22" t="e">
        <f t="shared" si="37"/>
        <v>#DIV/0!</v>
      </c>
      <c r="DG57" s="19"/>
      <c r="DH57" s="19"/>
      <c r="DI57" s="29" t="e">
        <f t="shared" si="38"/>
        <v>#DIV/0!</v>
      </c>
      <c r="DJ57" s="27"/>
      <c r="DK57" s="27"/>
      <c r="DL57" s="23"/>
      <c r="DM57" s="19"/>
      <c r="DN57" s="19"/>
      <c r="DO57" s="19"/>
      <c r="DP57" s="24" t="e">
        <f t="shared" si="39"/>
        <v>#DIV/0!</v>
      </c>
      <c r="DQ57" s="28"/>
    </row>
    <row r="58" spans="1:121">
      <c r="A58" s="3"/>
      <c r="C58" s="19"/>
      <c r="D58" s="19"/>
      <c r="E58" s="19"/>
      <c r="F58" s="19"/>
      <c r="G58" s="19"/>
      <c r="H58" s="19"/>
      <c r="I58" s="19"/>
      <c r="J58" s="19"/>
      <c r="K58" s="30"/>
      <c r="L58" s="19"/>
      <c r="M58" s="19"/>
      <c r="N58" s="22"/>
      <c r="O58" s="39"/>
      <c r="P58" s="22"/>
      <c r="Q58" s="19"/>
      <c r="R58" s="20"/>
      <c r="S58" s="20"/>
      <c r="T58" s="19"/>
      <c r="U58" s="19"/>
      <c r="V58" s="22"/>
      <c r="W58" s="19"/>
      <c r="X58" s="22"/>
      <c r="Y58" s="19"/>
      <c r="Z58" s="21"/>
      <c r="AA58" s="21"/>
      <c r="AB58" s="19"/>
      <c r="AC58" s="19"/>
      <c r="AD58" s="22"/>
      <c r="AE58" s="19"/>
      <c r="AF58" s="22"/>
      <c r="AG58" s="19"/>
      <c r="AH58" s="21"/>
      <c r="AI58" s="21"/>
      <c r="AJ58" s="19"/>
      <c r="AK58" s="19"/>
      <c r="AL58" s="22"/>
      <c r="AM58" s="19"/>
      <c r="AN58" s="22"/>
      <c r="AO58" s="19"/>
      <c r="AP58" s="21"/>
      <c r="AQ58" s="21"/>
      <c r="AR58" s="19"/>
      <c r="AS58" s="19"/>
      <c r="AT58" s="22"/>
      <c r="AU58" s="19"/>
      <c r="AV58" s="22"/>
      <c r="AW58" s="19"/>
      <c r="AX58" s="21"/>
      <c r="AY58" s="21"/>
      <c r="AZ58" s="19"/>
      <c r="BA58" s="19"/>
      <c r="BB58" s="22"/>
      <c r="BC58" s="19"/>
      <c r="BD58" s="22"/>
      <c r="BE58" s="19"/>
      <c r="BF58" s="21"/>
      <c r="BG58" s="21"/>
      <c r="BH58" s="19"/>
      <c r="BI58" s="19"/>
      <c r="BJ58" s="22"/>
      <c r="BK58" s="19"/>
      <c r="BL58" s="22"/>
      <c r="BM58" s="19"/>
      <c r="BN58" s="21"/>
      <c r="BO58" s="21"/>
      <c r="BP58" s="19"/>
      <c r="BQ58" s="19"/>
      <c r="BR58" s="22"/>
      <c r="BS58" s="19"/>
      <c r="BT58" s="22"/>
      <c r="BU58" s="19"/>
      <c r="BV58" s="21"/>
      <c r="BW58" s="21"/>
      <c r="BX58" s="19"/>
      <c r="BY58" s="19"/>
      <c r="BZ58" s="22"/>
      <c r="CA58" s="19"/>
      <c r="CB58" s="22"/>
      <c r="CC58" s="19"/>
      <c r="CD58" s="21"/>
      <c r="CE58" s="21"/>
      <c r="CF58" s="19"/>
      <c r="CG58" s="19"/>
      <c r="CH58" s="22"/>
      <c r="CI58" s="19"/>
      <c r="CJ58" s="22"/>
      <c r="CK58" s="39"/>
      <c r="CL58" s="21"/>
      <c r="CM58" s="21"/>
      <c r="CN58" s="19"/>
      <c r="CO58" s="19"/>
      <c r="CP58" s="22"/>
      <c r="CQ58" s="39"/>
      <c r="CR58" s="22"/>
      <c r="CS58" s="39"/>
      <c r="CT58" s="21"/>
      <c r="CU58" s="21"/>
      <c r="CV58" s="19"/>
      <c r="CW58" s="19"/>
      <c r="CX58" s="22"/>
      <c r="CY58" s="39"/>
      <c r="CZ58" s="22"/>
      <c r="DA58" s="19"/>
      <c r="DB58" s="21"/>
      <c r="DC58" s="21"/>
      <c r="DD58" s="19"/>
      <c r="DE58" s="19"/>
      <c r="DF58" s="22" t="e">
        <f t="shared" ref="DF58:DF65" si="40">DE58/DD58</f>
        <v>#DIV/0!</v>
      </c>
      <c r="DG58" s="19"/>
      <c r="DH58" s="19"/>
      <c r="DI58" s="29" t="e">
        <f t="shared" ref="DI58:DI65" si="41">DH58/DG58</f>
        <v>#DIV/0!</v>
      </c>
      <c r="DJ58" s="27"/>
      <c r="DK58" s="27"/>
      <c r="DL58" s="23"/>
      <c r="DM58" s="19"/>
      <c r="DN58" s="19"/>
      <c r="DO58" s="19"/>
      <c r="DP58" s="24" t="e">
        <f t="shared" ref="DP58:DP65" si="42">DD58/DM58</f>
        <v>#DIV/0!</v>
      </c>
      <c r="DQ58" s="28"/>
    </row>
    <row r="59" spans="1:121">
      <c r="A59" s="3"/>
      <c r="C59" s="19"/>
      <c r="D59" s="19"/>
      <c r="E59" s="19"/>
      <c r="F59" s="19"/>
      <c r="G59" s="19"/>
      <c r="H59" s="19"/>
      <c r="I59" s="19"/>
      <c r="J59" s="19"/>
      <c r="K59" s="30"/>
      <c r="L59" s="19"/>
      <c r="M59" s="19"/>
      <c r="N59" s="22"/>
      <c r="O59" s="39"/>
      <c r="P59" s="22"/>
      <c r="Q59" s="19"/>
      <c r="R59" s="20"/>
      <c r="S59" s="20"/>
      <c r="T59" s="19"/>
      <c r="U59" s="19"/>
      <c r="V59" s="22"/>
      <c r="W59" s="19"/>
      <c r="X59" s="22"/>
      <c r="Y59" s="19"/>
      <c r="Z59" s="21"/>
      <c r="AA59" s="21"/>
      <c r="AB59" s="19"/>
      <c r="AC59" s="19"/>
      <c r="AD59" s="22"/>
      <c r="AE59" s="19"/>
      <c r="AF59" s="22"/>
      <c r="AG59" s="19"/>
      <c r="AH59" s="21"/>
      <c r="AI59" s="21"/>
      <c r="AJ59" s="19"/>
      <c r="AK59" s="19"/>
      <c r="AL59" s="22"/>
      <c r="AM59" s="19"/>
      <c r="AN59" s="22"/>
      <c r="AO59" s="19"/>
      <c r="AP59" s="21"/>
      <c r="AQ59" s="21"/>
      <c r="AR59" s="19"/>
      <c r="AS59" s="19"/>
      <c r="AT59" s="22"/>
      <c r="AU59" s="19"/>
      <c r="AV59" s="22"/>
      <c r="AW59" s="19"/>
      <c r="AX59" s="21"/>
      <c r="AY59" s="21"/>
      <c r="AZ59" s="19"/>
      <c r="BA59" s="19"/>
      <c r="BB59" s="22"/>
      <c r="BC59" s="19"/>
      <c r="BD59" s="22"/>
      <c r="BE59" s="19"/>
      <c r="BF59" s="21"/>
      <c r="BG59" s="21"/>
      <c r="BH59" s="19"/>
      <c r="BI59" s="19"/>
      <c r="BJ59" s="22"/>
      <c r="BK59" s="19"/>
      <c r="BL59" s="22"/>
      <c r="BM59" s="19"/>
      <c r="BN59" s="21"/>
      <c r="BO59" s="21"/>
      <c r="BP59" s="19"/>
      <c r="BQ59" s="19"/>
      <c r="BR59" s="22"/>
      <c r="BS59" s="19"/>
      <c r="BT59" s="22"/>
      <c r="BU59" s="19"/>
      <c r="BV59" s="21"/>
      <c r="BW59" s="21"/>
      <c r="BX59" s="19"/>
      <c r="BY59" s="19"/>
      <c r="BZ59" s="22"/>
      <c r="CA59" s="19"/>
      <c r="CB59" s="22"/>
      <c r="CC59" s="19"/>
      <c r="CD59" s="21"/>
      <c r="CE59" s="21"/>
      <c r="CF59" s="19"/>
      <c r="CG59" s="19"/>
      <c r="CH59" s="22"/>
      <c r="CI59" s="19"/>
      <c r="CJ59" s="22"/>
      <c r="CK59" s="39"/>
      <c r="CL59" s="21"/>
      <c r="CM59" s="21"/>
      <c r="CN59" s="19"/>
      <c r="CO59" s="19"/>
      <c r="CP59" s="22"/>
      <c r="CQ59" s="39"/>
      <c r="CR59" s="22"/>
      <c r="CS59" s="39"/>
      <c r="CT59" s="21"/>
      <c r="CU59" s="21"/>
      <c r="CV59" s="19"/>
      <c r="CW59" s="19"/>
      <c r="CX59" s="22"/>
      <c r="CY59" s="39"/>
      <c r="CZ59" s="22"/>
      <c r="DA59" s="19"/>
      <c r="DB59" s="21"/>
      <c r="DC59" s="21"/>
      <c r="DD59" s="19"/>
      <c r="DE59" s="19"/>
      <c r="DF59" s="22" t="e">
        <f t="shared" si="40"/>
        <v>#DIV/0!</v>
      </c>
      <c r="DG59" s="19"/>
      <c r="DH59" s="19"/>
      <c r="DI59" s="29" t="e">
        <f t="shared" si="41"/>
        <v>#DIV/0!</v>
      </c>
      <c r="DJ59" s="27"/>
      <c r="DK59" s="27"/>
      <c r="DL59" s="23"/>
      <c r="DM59" s="19"/>
      <c r="DN59" s="19"/>
      <c r="DO59" s="19"/>
      <c r="DP59" s="24" t="e">
        <f t="shared" si="42"/>
        <v>#DIV/0!</v>
      </c>
      <c r="DQ59" s="28"/>
    </row>
    <row r="60" spans="1:121">
      <c r="A60" s="3"/>
      <c r="C60" s="19"/>
      <c r="D60" s="19"/>
      <c r="E60" s="19"/>
      <c r="F60" s="19"/>
      <c r="G60" s="19"/>
      <c r="H60" s="19"/>
      <c r="I60" s="19"/>
      <c r="J60" s="19"/>
      <c r="K60" s="30"/>
      <c r="L60" s="19"/>
      <c r="M60" s="19"/>
      <c r="N60" s="22"/>
      <c r="O60" s="39"/>
      <c r="P60" s="22"/>
      <c r="Q60" s="19"/>
      <c r="R60" s="20"/>
      <c r="S60" s="20"/>
      <c r="T60" s="19"/>
      <c r="U60" s="19"/>
      <c r="V60" s="22"/>
      <c r="W60" s="19"/>
      <c r="X60" s="22"/>
      <c r="Y60" s="19"/>
      <c r="Z60" s="21"/>
      <c r="AA60" s="21"/>
      <c r="AB60" s="19"/>
      <c r="AC60" s="19"/>
      <c r="AD60" s="22"/>
      <c r="AE60" s="19"/>
      <c r="AF60" s="22"/>
      <c r="AG60" s="19"/>
      <c r="AH60" s="21"/>
      <c r="AI60" s="21"/>
      <c r="AJ60" s="19"/>
      <c r="AK60" s="19"/>
      <c r="AL60" s="22"/>
      <c r="AM60" s="19"/>
      <c r="AN60" s="22"/>
      <c r="AO60" s="19"/>
      <c r="AP60" s="21"/>
      <c r="AQ60" s="21"/>
      <c r="AR60" s="19"/>
      <c r="AS60" s="19"/>
      <c r="AT60" s="22"/>
      <c r="AU60" s="19"/>
      <c r="AV60" s="22"/>
      <c r="AW60" s="19"/>
      <c r="AX60" s="21"/>
      <c r="AY60" s="21"/>
      <c r="AZ60" s="19"/>
      <c r="BA60" s="19"/>
      <c r="BB60" s="22"/>
      <c r="BC60" s="19"/>
      <c r="BD60" s="22"/>
      <c r="BE60" s="19"/>
      <c r="BF60" s="21"/>
      <c r="BG60" s="21"/>
      <c r="BH60" s="19"/>
      <c r="BI60" s="19"/>
      <c r="BJ60" s="22"/>
      <c r="BK60" s="19"/>
      <c r="BL60" s="22"/>
      <c r="BM60" s="19"/>
      <c r="BN60" s="21"/>
      <c r="BO60" s="21"/>
      <c r="BP60" s="19"/>
      <c r="BQ60" s="19"/>
      <c r="BR60" s="22"/>
      <c r="BS60" s="19"/>
      <c r="BT60" s="22"/>
      <c r="BU60" s="19"/>
      <c r="BV60" s="21"/>
      <c r="BW60" s="21"/>
      <c r="BX60" s="19"/>
      <c r="BY60" s="19"/>
      <c r="BZ60" s="22"/>
      <c r="CA60" s="19"/>
      <c r="CB60" s="22"/>
      <c r="CC60" s="19"/>
      <c r="CD60" s="21"/>
      <c r="CE60" s="21"/>
      <c r="CF60" s="19"/>
      <c r="CG60" s="19"/>
      <c r="CH60" s="22"/>
      <c r="CI60" s="19"/>
      <c r="CJ60" s="22"/>
      <c r="CK60" s="39"/>
      <c r="CL60" s="21"/>
      <c r="CM60" s="21"/>
      <c r="CN60" s="19"/>
      <c r="CO60" s="19"/>
      <c r="CP60" s="22"/>
      <c r="CQ60" s="39"/>
      <c r="CR60" s="22"/>
      <c r="CS60" s="39"/>
      <c r="CT60" s="21"/>
      <c r="CU60" s="21"/>
      <c r="CV60" s="19"/>
      <c r="CW60" s="19"/>
      <c r="CX60" s="22"/>
      <c r="CY60" s="39"/>
      <c r="CZ60" s="22"/>
      <c r="DA60" s="19"/>
      <c r="DB60" s="21"/>
      <c r="DC60" s="21"/>
      <c r="DD60" s="19"/>
      <c r="DE60" s="19"/>
      <c r="DF60" s="22" t="e">
        <f t="shared" si="40"/>
        <v>#DIV/0!</v>
      </c>
      <c r="DG60" s="19"/>
      <c r="DH60" s="19"/>
      <c r="DI60" s="29" t="e">
        <f t="shared" si="41"/>
        <v>#DIV/0!</v>
      </c>
      <c r="DJ60" s="27"/>
      <c r="DK60" s="27"/>
      <c r="DL60" s="23"/>
      <c r="DM60" s="19"/>
      <c r="DN60" s="19"/>
      <c r="DO60" s="19"/>
      <c r="DP60" s="24" t="e">
        <f t="shared" si="42"/>
        <v>#DIV/0!</v>
      </c>
      <c r="DQ60" s="28"/>
    </row>
    <row r="61" spans="1:121">
      <c r="A61" s="3"/>
      <c r="C61" s="19"/>
      <c r="D61" s="19"/>
      <c r="E61" s="19"/>
      <c r="F61" s="19"/>
      <c r="G61" s="19"/>
      <c r="H61" s="19"/>
      <c r="I61" s="19"/>
      <c r="J61" s="19"/>
      <c r="K61" s="30"/>
      <c r="L61" s="19"/>
      <c r="M61" s="19"/>
      <c r="N61" s="22"/>
      <c r="O61" s="39"/>
      <c r="P61" s="22"/>
      <c r="Q61" s="19"/>
      <c r="R61" s="20"/>
      <c r="S61" s="20"/>
      <c r="T61" s="19"/>
      <c r="U61" s="19"/>
      <c r="V61" s="22"/>
      <c r="W61" s="19"/>
      <c r="X61" s="22"/>
      <c r="Y61" s="19"/>
      <c r="Z61" s="21"/>
      <c r="AA61" s="21"/>
      <c r="AB61" s="19"/>
      <c r="AC61" s="19"/>
      <c r="AD61" s="22"/>
      <c r="AE61" s="19"/>
      <c r="AF61" s="22"/>
      <c r="AG61" s="19"/>
      <c r="AH61" s="21"/>
      <c r="AI61" s="21"/>
      <c r="AJ61" s="19"/>
      <c r="AK61" s="19"/>
      <c r="AL61" s="22"/>
      <c r="AM61" s="19"/>
      <c r="AN61" s="22"/>
      <c r="AO61" s="19"/>
      <c r="AP61" s="21"/>
      <c r="AQ61" s="21"/>
      <c r="AR61" s="19"/>
      <c r="AS61" s="19"/>
      <c r="AT61" s="22"/>
      <c r="AU61" s="19"/>
      <c r="AV61" s="22"/>
      <c r="AW61" s="19"/>
      <c r="AX61" s="21"/>
      <c r="AY61" s="21"/>
      <c r="AZ61" s="19"/>
      <c r="BA61" s="19"/>
      <c r="BB61" s="22"/>
      <c r="BC61" s="19"/>
      <c r="BD61" s="22"/>
      <c r="BE61" s="19"/>
      <c r="BF61" s="21"/>
      <c r="BG61" s="21"/>
      <c r="BH61" s="19"/>
      <c r="BI61" s="19"/>
      <c r="BJ61" s="22"/>
      <c r="BK61" s="19"/>
      <c r="BL61" s="22"/>
      <c r="BM61" s="19"/>
      <c r="BN61" s="21"/>
      <c r="BO61" s="21"/>
      <c r="BP61" s="19"/>
      <c r="BQ61" s="19"/>
      <c r="BR61" s="22"/>
      <c r="BS61" s="19"/>
      <c r="BT61" s="22"/>
      <c r="BU61" s="19"/>
      <c r="BV61" s="21"/>
      <c r="BW61" s="21"/>
      <c r="BX61" s="19"/>
      <c r="BY61" s="19"/>
      <c r="BZ61" s="22"/>
      <c r="CA61" s="19"/>
      <c r="CB61" s="22"/>
      <c r="CC61" s="19"/>
      <c r="CD61" s="21"/>
      <c r="CE61" s="21"/>
      <c r="CF61" s="19"/>
      <c r="CG61" s="19"/>
      <c r="CH61" s="22"/>
      <c r="CI61" s="19"/>
      <c r="CJ61" s="22"/>
      <c r="CK61" s="39"/>
      <c r="CL61" s="21"/>
      <c r="CM61" s="21"/>
      <c r="CN61" s="19"/>
      <c r="CO61" s="19"/>
      <c r="CP61" s="22"/>
      <c r="CQ61" s="39"/>
      <c r="CR61" s="22"/>
      <c r="CS61" s="39"/>
      <c r="CT61" s="21"/>
      <c r="CU61" s="21"/>
      <c r="CV61" s="19"/>
      <c r="CW61" s="19"/>
      <c r="CX61" s="22"/>
      <c r="CY61" s="39"/>
      <c r="CZ61" s="22"/>
      <c r="DA61" s="19"/>
      <c r="DB61" s="21"/>
      <c r="DC61" s="21"/>
      <c r="DD61" s="19"/>
      <c r="DE61" s="19"/>
      <c r="DF61" s="22" t="e">
        <f t="shared" si="40"/>
        <v>#DIV/0!</v>
      </c>
      <c r="DG61" s="19"/>
      <c r="DH61" s="19"/>
      <c r="DI61" s="29" t="e">
        <f t="shared" si="41"/>
        <v>#DIV/0!</v>
      </c>
      <c r="DJ61" s="27"/>
      <c r="DK61" s="27"/>
      <c r="DL61" s="23"/>
      <c r="DM61" s="19"/>
      <c r="DN61" s="19"/>
      <c r="DO61" s="19"/>
      <c r="DP61" s="24" t="e">
        <f t="shared" si="42"/>
        <v>#DIV/0!</v>
      </c>
      <c r="DQ61" s="28"/>
    </row>
    <row r="62" spans="1:121">
      <c r="A62" s="3"/>
      <c r="C62" s="19"/>
      <c r="D62" s="19"/>
      <c r="E62" s="19"/>
      <c r="F62" s="19"/>
      <c r="G62" s="19"/>
      <c r="H62" s="19"/>
      <c r="I62" s="19"/>
      <c r="J62" s="19"/>
      <c r="K62" s="30"/>
      <c r="L62" s="19"/>
      <c r="M62" s="19"/>
      <c r="N62" s="22"/>
      <c r="O62" s="39"/>
      <c r="P62" s="22"/>
      <c r="Q62" s="19"/>
      <c r="R62" s="20"/>
      <c r="S62" s="20"/>
      <c r="T62" s="19"/>
      <c r="U62" s="19"/>
      <c r="V62" s="22"/>
      <c r="W62" s="19"/>
      <c r="X62" s="22"/>
      <c r="Y62" s="19"/>
      <c r="Z62" s="21"/>
      <c r="AA62" s="21"/>
      <c r="AB62" s="19"/>
      <c r="AC62" s="19"/>
      <c r="AD62" s="22"/>
      <c r="AE62" s="19"/>
      <c r="AF62" s="22"/>
      <c r="AG62" s="19"/>
      <c r="AH62" s="21"/>
      <c r="AI62" s="21"/>
      <c r="AJ62" s="19"/>
      <c r="AK62" s="19"/>
      <c r="AL62" s="22"/>
      <c r="AM62" s="19"/>
      <c r="AN62" s="22"/>
      <c r="AO62" s="19"/>
      <c r="AP62" s="21"/>
      <c r="AQ62" s="21"/>
      <c r="AR62" s="19"/>
      <c r="AS62" s="19"/>
      <c r="AT62" s="22"/>
      <c r="AU62" s="19"/>
      <c r="AV62" s="22"/>
      <c r="AW62" s="19"/>
      <c r="AX62" s="21"/>
      <c r="AY62" s="21"/>
      <c r="AZ62" s="19"/>
      <c r="BA62" s="19"/>
      <c r="BB62" s="22"/>
      <c r="BC62" s="19"/>
      <c r="BD62" s="22"/>
      <c r="BE62" s="19"/>
      <c r="BF62" s="21"/>
      <c r="BG62" s="21"/>
      <c r="BH62" s="19"/>
      <c r="BI62" s="19"/>
      <c r="BJ62" s="22"/>
      <c r="BK62" s="19"/>
      <c r="BL62" s="22"/>
      <c r="BM62" s="19"/>
      <c r="BN62" s="21"/>
      <c r="BO62" s="21"/>
      <c r="BP62" s="19"/>
      <c r="BQ62" s="19"/>
      <c r="BR62" s="22"/>
      <c r="BS62" s="19"/>
      <c r="BT62" s="22"/>
      <c r="BU62" s="19"/>
      <c r="BV62" s="21"/>
      <c r="BW62" s="21"/>
      <c r="BX62" s="19"/>
      <c r="BY62" s="19"/>
      <c r="BZ62" s="22"/>
      <c r="CA62" s="19"/>
      <c r="CB62" s="22"/>
      <c r="CC62" s="19"/>
      <c r="CD62" s="21"/>
      <c r="CE62" s="21"/>
      <c r="CF62" s="19"/>
      <c r="CG62" s="19"/>
      <c r="CH62" s="22"/>
      <c r="CI62" s="19"/>
      <c r="CJ62" s="22"/>
      <c r="CK62" s="39"/>
      <c r="CL62" s="21"/>
      <c r="CM62" s="21"/>
      <c r="CN62" s="19"/>
      <c r="CO62" s="19"/>
      <c r="CP62" s="22"/>
      <c r="CQ62" s="39"/>
      <c r="CR62" s="22"/>
      <c r="CS62" s="39"/>
      <c r="CT62" s="21"/>
      <c r="CU62" s="21"/>
      <c r="CV62" s="19"/>
      <c r="CW62" s="19"/>
      <c r="CX62" s="22"/>
      <c r="CY62" s="39"/>
      <c r="CZ62" s="22"/>
      <c r="DA62" s="19"/>
      <c r="DB62" s="21"/>
      <c r="DC62" s="21"/>
      <c r="DD62" s="19"/>
      <c r="DE62" s="19"/>
      <c r="DF62" s="22" t="e">
        <f t="shared" si="40"/>
        <v>#DIV/0!</v>
      </c>
      <c r="DG62" s="19"/>
      <c r="DH62" s="19"/>
      <c r="DI62" s="29" t="e">
        <f t="shared" si="41"/>
        <v>#DIV/0!</v>
      </c>
      <c r="DJ62" s="27"/>
      <c r="DK62" s="27"/>
      <c r="DL62" s="23"/>
      <c r="DM62" s="19"/>
      <c r="DN62" s="19"/>
      <c r="DO62" s="19"/>
      <c r="DP62" s="24" t="e">
        <f t="shared" si="42"/>
        <v>#DIV/0!</v>
      </c>
      <c r="DQ62" s="28"/>
    </row>
    <row r="63" spans="1:121">
      <c r="A63" s="3"/>
      <c r="C63" s="19"/>
      <c r="D63" s="19"/>
      <c r="E63" s="19"/>
      <c r="F63" s="19"/>
      <c r="G63" s="19"/>
      <c r="H63" s="19"/>
      <c r="I63" s="19"/>
      <c r="J63" s="19"/>
      <c r="K63" s="30"/>
      <c r="L63" s="19"/>
      <c r="M63" s="19"/>
      <c r="N63" s="22"/>
      <c r="O63" s="39"/>
      <c r="P63" s="22"/>
      <c r="Q63" s="19"/>
      <c r="R63" s="20"/>
      <c r="S63" s="20"/>
      <c r="T63" s="19"/>
      <c r="U63" s="19"/>
      <c r="V63" s="22"/>
      <c r="W63" s="19"/>
      <c r="X63" s="22"/>
      <c r="Y63" s="19"/>
      <c r="Z63" s="21"/>
      <c r="AA63" s="21"/>
      <c r="AB63" s="19"/>
      <c r="AC63" s="19"/>
      <c r="AD63" s="22"/>
      <c r="AE63" s="19"/>
      <c r="AF63" s="22"/>
      <c r="AG63" s="19"/>
      <c r="AH63" s="21"/>
      <c r="AI63" s="21"/>
      <c r="AJ63" s="19"/>
      <c r="AK63" s="19"/>
      <c r="AL63" s="22"/>
      <c r="AM63" s="19"/>
      <c r="AN63" s="22"/>
      <c r="AO63" s="19"/>
      <c r="AP63" s="21"/>
      <c r="AQ63" s="21"/>
      <c r="AR63" s="19"/>
      <c r="AS63" s="19"/>
      <c r="AT63" s="22"/>
      <c r="AU63" s="19"/>
      <c r="AV63" s="22"/>
      <c r="AW63" s="19"/>
      <c r="AX63" s="21"/>
      <c r="AY63" s="21"/>
      <c r="AZ63" s="19"/>
      <c r="BA63" s="19"/>
      <c r="BB63" s="22"/>
      <c r="BC63" s="19"/>
      <c r="BD63" s="22"/>
      <c r="BE63" s="19"/>
      <c r="BF63" s="21"/>
      <c r="BG63" s="21"/>
      <c r="BH63" s="19"/>
      <c r="BI63" s="19"/>
      <c r="BJ63" s="22"/>
      <c r="BK63" s="19"/>
      <c r="BL63" s="22"/>
      <c r="BM63" s="19"/>
      <c r="BN63" s="21"/>
      <c r="BO63" s="21"/>
      <c r="BP63" s="19"/>
      <c r="BQ63" s="19"/>
      <c r="BR63" s="22"/>
      <c r="BS63" s="19"/>
      <c r="BT63" s="22"/>
      <c r="BU63" s="19"/>
      <c r="BV63" s="21"/>
      <c r="BW63" s="21"/>
      <c r="BX63" s="19"/>
      <c r="BY63" s="19"/>
      <c r="BZ63" s="22"/>
      <c r="CA63" s="19"/>
      <c r="CB63" s="22"/>
      <c r="CC63" s="19"/>
      <c r="CD63" s="21"/>
      <c r="CE63" s="21"/>
      <c r="CF63" s="19"/>
      <c r="CG63" s="19"/>
      <c r="CH63" s="22"/>
      <c r="CI63" s="19"/>
      <c r="CJ63" s="22"/>
      <c r="CK63" s="39"/>
      <c r="CL63" s="21"/>
      <c r="CM63" s="21"/>
      <c r="CN63" s="19"/>
      <c r="CO63" s="19"/>
      <c r="CP63" s="22"/>
      <c r="CQ63" s="39"/>
      <c r="CR63" s="22"/>
      <c r="CS63" s="39"/>
      <c r="CT63" s="21"/>
      <c r="CU63" s="21"/>
      <c r="CV63" s="19"/>
      <c r="CW63" s="19"/>
      <c r="CX63" s="22"/>
      <c r="CY63" s="39"/>
      <c r="CZ63" s="22"/>
      <c r="DA63" s="19"/>
      <c r="DB63" s="21"/>
      <c r="DC63" s="21"/>
      <c r="DD63" s="19"/>
      <c r="DE63" s="19"/>
      <c r="DF63" s="22" t="e">
        <f t="shared" si="40"/>
        <v>#DIV/0!</v>
      </c>
      <c r="DG63" s="19"/>
      <c r="DH63" s="19"/>
      <c r="DI63" s="29" t="e">
        <f t="shared" si="41"/>
        <v>#DIV/0!</v>
      </c>
      <c r="DJ63" s="27"/>
      <c r="DK63" s="27"/>
      <c r="DL63" s="23"/>
      <c r="DM63" s="19"/>
      <c r="DN63" s="19"/>
      <c r="DO63" s="19"/>
      <c r="DP63" s="24" t="e">
        <f t="shared" si="42"/>
        <v>#DIV/0!</v>
      </c>
      <c r="DQ63" s="28"/>
    </row>
    <row r="64" spans="1:121">
      <c r="A64" s="3"/>
      <c r="C64" s="19"/>
      <c r="D64" s="19"/>
      <c r="E64" s="19"/>
      <c r="F64" s="19"/>
      <c r="G64" s="19"/>
      <c r="H64" s="19"/>
      <c r="I64" s="19"/>
      <c r="J64" s="19"/>
      <c r="K64" s="30"/>
      <c r="L64" s="19"/>
      <c r="M64" s="19"/>
      <c r="N64" s="22"/>
      <c r="O64" s="39"/>
      <c r="P64" s="22"/>
      <c r="Q64" s="19"/>
      <c r="R64" s="20"/>
      <c r="S64" s="20"/>
      <c r="T64" s="19"/>
      <c r="U64" s="19"/>
      <c r="V64" s="22"/>
      <c r="W64" s="19"/>
      <c r="X64" s="22"/>
      <c r="Y64" s="19"/>
      <c r="Z64" s="21"/>
      <c r="AA64" s="21"/>
      <c r="AB64" s="19"/>
      <c r="AC64" s="19"/>
      <c r="AD64" s="22"/>
      <c r="AE64" s="19"/>
      <c r="AF64" s="22"/>
      <c r="AG64" s="19"/>
      <c r="AH64" s="21"/>
      <c r="AI64" s="21"/>
      <c r="AJ64" s="19"/>
      <c r="AK64" s="19"/>
      <c r="AL64" s="22"/>
      <c r="AM64" s="19"/>
      <c r="AN64" s="22"/>
      <c r="AO64" s="19"/>
      <c r="AP64" s="21"/>
      <c r="AQ64" s="21"/>
      <c r="AR64" s="19"/>
      <c r="AS64" s="19"/>
      <c r="AT64" s="22"/>
      <c r="AU64" s="19"/>
      <c r="AV64" s="22"/>
      <c r="AW64" s="19"/>
      <c r="AX64" s="21"/>
      <c r="AY64" s="21"/>
      <c r="AZ64" s="19"/>
      <c r="BA64" s="19"/>
      <c r="BB64" s="22"/>
      <c r="BC64" s="19"/>
      <c r="BD64" s="22"/>
      <c r="BE64" s="19"/>
      <c r="BF64" s="21"/>
      <c r="BG64" s="21"/>
      <c r="BH64" s="19"/>
      <c r="BI64" s="19"/>
      <c r="BJ64" s="22"/>
      <c r="BK64" s="19"/>
      <c r="BL64" s="22"/>
      <c r="BM64" s="19"/>
      <c r="BN64" s="21"/>
      <c r="BO64" s="21"/>
      <c r="BP64" s="19"/>
      <c r="BQ64" s="19"/>
      <c r="BR64" s="22"/>
      <c r="BS64" s="19"/>
      <c r="BT64" s="22"/>
      <c r="BU64" s="19"/>
      <c r="BV64" s="21"/>
      <c r="BW64" s="21"/>
      <c r="BX64" s="19"/>
      <c r="BY64" s="19"/>
      <c r="BZ64" s="22"/>
      <c r="CA64" s="19"/>
      <c r="CB64" s="22"/>
      <c r="CC64" s="19"/>
      <c r="CD64" s="21"/>
      <c r="CE64" s="21"/>
      <c r="CF64" s="19"/>
      <c r="CG64" s="19"/>
      <c r="CH64" s="22"/>
      <c r="CI64" s="19"/>
      <c r="CJ64" s="22"/>
      <c r="CK64" s="39"/>
      <c r="CL64" s="21"/>
      <c r="CM64" s="21"/>
      <c r="CN64" s="19"/>
      <c r="CO64" s="19"/>
      <c r="CP64" s="22"/>
      <c r="CQ64" s="39"/>
      <c r="CR64" s="22"/>
      <c r="CS64" s="39"/>
      <c r="CT64" s="21"/>
      <c r="CU64" s="21"/>
      <c r="CV64" s="19"/>
      <c r="CW64" s="19"/>
      <c r="CX64" s="22"/>
      <c r="CY64" s="39"/>
      <c r="CZ64" s="22"/>
      <c r="DA64" s="19"/>
      <c r="DB64" s="21"/>
      <c r="DC64" s="21"/>
      <c r="DD64" s="19"/>
      <c r="DE64" s="19"/>
      <c r="DF64" s="22" t="e">
        <f t="shared" si="40"/>
        <v>#DIV/0!</v>
      </c>
      <c r="DG64" s="19"/>
      <c r="DH64" s="19"/>
      <c r="DI64" s="29" t="e">
        <f t="shared" si="41"/>
        <v>#DIV/0!</v>
      </c>
      <c r="DJ64" s="27"/>
      <c r="DK64" s="27"/>
      <c r="DL64" s="23"/>
      <c r="DM64" s="19"/>
      <c r="DN64" s="19"/>
      <c r="DO64" s="19"/>
      <c r="DP64" s="24" t="e">
        <f t="shared" si="42"/>
        <v>#DIV/0!</v>
      </c>
      <c r="DQ64" s="28"/>
    </row>
    <row r="65" spans="1:121">
      <c r="A65" s="3"/>
      <c r="C65" s="19"/>
      <c r="D65" s="19"/>
      <c r="E65" s="19"/>
      <c r="F65" s="19"/>
      <c r="G65" s="19"/>
      <c r="H65" s="19"/>
      <c r="I65" s="19"/>
      <c r="J65" s="19"/>
      <c r="K65" s="30"/>
      <c r="L65" s="19"/>
      <c r="M65" s="19"/>
      <c r="N65" s="22"/>
      <c r="O65" s="39"/>
      <c r="P65" s="22"/>
      <c r="Q65" s="19"/>
      <c r="R65" s="20"/>
      <c r="S65" s="20"/>
      <c r="T65" s="19"/>
      <c r="U65" s="19"/>
      <c r="V65" s="22"/>
      <c r="W65" s="19"/>
      <c r="X65" s="22"/>
      <c r="Y65" s="19"/>
      <c r="Z65" s="21"/>
      <c r="AA65" s="21"/>
      <c r="AB65" s="19"/>
      <c r="AC65" s="19"/>
      <c r="AD65" s="22"/>
      <c r="AE65" s="19"/>
      <c r="AF65" s="22"/>
      <c r="AG65" s="19"/>
      <c r="AH65" s="21"/>
      <c r="AI65" s="21"/>
      <c r="AJ65" s="19"/>
      <c r="AK65" s="19"/>
      <c r="AL65" s="22"/>
      <c r="AM65" s="19"/>
      <c r="AN65" s="22"/>
      <c r="AO65" s="19"/>
      <c r="AP65" s="21"/>
      <c r="AQ65" s="21"/>
      <c r="AR65" s="19"/>
      <c r="AS65" s="19"/>
      <c r="AT65" s="22"/>
      <c r="AU65" s="19"/>
      <c r="AV65" s="22"/>
      <c r="AW65" s="19"/>
      <c r="AX65" s="21"/>
      <c r="AY65" s="21"/>
      <c r="AZ65" s="19"/>
      <c r="BA65" s="19"/>
      <c r="BB65" s="22"/>
      <c r="BC65" s="19"/>
      <c r="BD65" s="22"/>
      <c r="BE65" s="19"/>
      <c r="BF65" s="21"/>
      <c r="BG65" s="21"/>
      <c r="BH65" s="19"/>
      <c r="BI65" s="19"/>
      <c r="BJ65" s="22"/>
      <c r="BK65" s="19"/>
      <c r="BL65" s="22"/>
      <c r="BM65" s="19"/>
      <c r="BN65" s="21"/>
      <c r="BO65" s="21"/>
      <c r="BP65" s="19"/>
      <c r="BQ65" s="19"/>
      <c r="BR65" s="22"/>
      <c r="BS65" s="19"/>
      <c r="BT65" s="22"/>
      <c r="BU65" s="19"/>
      <c r="BV65" s="21"/>
      <c r="BW65" s="21"/>
      <c r="BX65" s="19"/>
      <c r="BY65" s="19"/>
      <c r="BZ65" s="22"/>
      <c r="CA65" s="19"/>
      <c r="CB65" s="22"/>
      <c r="CC65" s="19"/>
      <c r="CD65" s="21"/>
      <c r="CE65" s="21"/>
      <c r="CF65" s="19"/>
      <c r="CG65" s="19"/>
      <c r="CH65" s="22"/>
      <c r="CI65" s="19"/>
      <c r="CJ65" s="22"/>
      <c r="CK65" s="39"/>
      <c r="CL65" s="21"/>
      <c r="CM65" s="21"/>
      <c r="CN65" s="19"/>
      <c r="CO65" s="19"/>
      <c r="CP65" s="22"/>
      <c r="CQ65" s="39"/>
      <c r="CR65" s="22"/>
      <c r="CS65" s="39"/>
      <c r="CT65" s="21"/>
      <c r="CU65" s="21"/>
      <c r="CV65" s="19"/>
      <c r="CW65" s="19"/>
      <c r="CX65" s="22"/>
      <c r="CY65" s="39"/>
      <c r="CZ65" s="22"/>
      <c r="DA65" s="19"/>
      <c r="DB65" s="21"/>
      <c r="DC65" s="21"/>
      <c r="DD65" s="19"/>
      <c r="DE65" s="19"/>
      <c r="DF65" s="22" t="e">
        <f t="shared" si="40"/>
        <v>#DIV/0!</v>
      </c>
      <c r="DG65" s="19"/>
      <c r="DH65" s="19"/>
      <c r="DI65" s="29" t="e">
        <f t="shared" si="41"/>
        <v>#DIV/0!</v>
      </c>
      <c r="DJ65" s="27"/>
      <c r="DK65" s="27"/>
      <c r="DL65" s="23"/>
      <c r="DM65" s="19"/>
      <c r="DN65" s="19"/>
      <c r="DO65" s="19"/>
      <c r="DP65" s="24" t="e">
        <f t="shared" si="42"/>
        <v>#DIV/0!</v>
      </c>
      <c r="DQ65" s="28"/>
    </row>
    <row r="66" spans="1:121">
      <c r="A66" s="3"/>
      <c r="C66" s="19"/>
      <c r="D66" s="19"/>
      <c r="E66" s="19"/>
      <c r="F66" s="19"/>
      <c r="G66" s="19"/>
      <c r="H66" s="19"/>
      <c r="I66" s="19"/>
      <c r="J66" s="19"/>
      <c r="K66" s="30"/>
      <c r="L66" s="19"/>
      <c r="M66" s="19"/>
      <c r="N66" s="22"/>
      <c r="O66" s="39"/>
      <c r="P66" s="22"/>
      <c r="Q66" s="19"/>
      <c r="R66" s="20"/>
      <c r="S66" s="20"/>
      <c r="T66" s="19"/>
      <c r="U66" s="19"/>
      <c r="V66" s="22"/>
      <c r="W66" s="19"/>
      <c r="X66" s="22"/>
      <c r="Y66" s="19"/>
      <c r="Z66" s="21"/>
      <c r="AA66" s="21"/>
      <c r="AB66" s="19"/>
      <c r="AC66" s="19"/>
      <c r="AD66" s="22"/>
      <c r="AE66" s="19"/>
      <c r="AF66" s="22"/>
      <c r="AG66" s="19"/>
      <c r="AH66" s="21"/>
      <c r="AI66" s="21"/>
      <c r="AJ66" s="19"/>
      <c r="AK66" s="19"/>
      <c r="AL66" s="22"/>
      <c r="AM66" s="19"/>
      <c r="AN66" s="22"/>
      <c r="AO66" s="19"/>
      <c r="AP66" s="21"/>
      <c r="AQ66" s="21"/>
      <c r="AR66" s="19"/>
      <c r="AS66" s="19"/>
      <c r="AT66" s="22"/>
      <c r="AU66" s="19"/>
      <c r="AV66" s="22"/>
      <c r="AW66" s="19"/>
      <c r="AX66" s="21"/>
      <c r="AY66" s="21"/>
      <c r="AZ66" s="19"/>
      <c r="BA66" s="19"/>
      <c r="BB66" s="22"/>
      <c r="BC66" s="19"/>
      <c r="BD66" s="22"/>
      <c r="BE66" s="19"/>
      <c r="BF66" s="21"/>
      <c r="BG66" s="21"/>
      <c r="BH66" s="19"/>
      <c r="BI66" s="19"/>
      <c r="BJ66" s="22"/>
      <c r="BK66" s="19"/>
      <c r="BL66" s="22"/>
      <c r="BM66" s="19"/>
      <c r="BN66" s="21"/>
      <c r="BO66" s="21"/>
      <c r="BP66" s="19"/>
      <c r="BQ66" s="19"/>
      <c r="BR66" s="22"/>
      <c r="BS66" s="19"/>
      <c r="BT66" s="22"/>
      <c r="BU66" s="19"/>
      <c r="BV66" s="21"/>
      <c r="BW66" s="21"/>
      <c r="BX66" s="19"/>
      <c r="BY66" s="19"/>
      <c r="BZ66" s="22"/>
      <c r="CA66" s="19"/>
      <c r="CB66" s="22"/>
      <c r="CC66" s="19"/>
      <c r="CD66" s="21"/>
      <c r="CE66" s="21"/>
      <c r="CF66" s="19"/>
      <c r="CG66" s="19"/>
      <c r="CH66" s="22"/>
      <c r="CI66" s="19"/>
      <c r="CJ66" s="22"/>
      <c r="CK66" s="39"/>
      <c r="CL66" s="21"/>
      <c r="CM66" s="21"/>
      <c r="CN66" s="19"/>
      <c r="CO66" s="19"/>
      <c r="CP66" s="22"/>
      <c r="CQ66" s="39"/>
      <c r="CR66" s="22"/>
      <c r="CS66" s="39"/>
      <c r="CT66" s="21"/>
      <c r="CU66" s="21"/>
      <c r="CV66" s="19"/>
      <c r="CW66" s="19"/>
      <c r="CX66" s="22"/>
      <c r="CY66" s="39"/>
      <c r="CZ66" s="22"/>
      <c r="DA66" s="19"/>
      <c r="DB66" s="21"/>
      <c r="DC66" s="21"/>
      <c r="DD66" s="19"/>
      <c r="DE66" s="19"/>
      <c r="DF66" s="22" t="e">
        <f t="shared" ref="DF66:DF69" si="43">DE66/DD66</f>
        <v>#DIV/0!</v>
      </c>
      <c r="DG66" s="19"/>
      <c r="DH66" s="19"/>
      <c r="DI66" s="29" t="e">
        <f t="shared" ref="DI66:DI69" si="44">DH66/DG66</f>
        <v>#DIV/0!</v>
      </c>
      <c r="DJ66" s="27"/>
      <c r="DK66" s="27"/>
      <c r="DL66" s="23"/>
      <c r="DM66" s="19"/>
      <c r="DN66" s="19"/>
      <c r="DO66" s="19"/>
      <c r="DP66" s="24" t="e">
        <f t="shared" ref="DP66:DP69" si="45">DD66/DM66</f>
        <v>#DIV/0!</v>
      </c>
      <c r="DQ66" s="28"/>
    </row>
    <row r="67" spans="1:121">
      <c r="A67" s="3"/>
      <c r="C67" s="19"/>
      <c r="D67" s="19"/>
      <c r="E67" s="19"/>
      <c r="F67" s="19"/>
      <c r="G67" s="19"/>
      <c r="H67" s="19"/>
      <c r="I67" s="19"/>
      <c r="J67" s="19"/>
      <c r="K67" s="30"/>
      <c r="L67" s="19"/>
      <c r="M67" s="19"/>
      <c r="N67" s="22"/>
      <c r="O67" s="39"/>
      <c r="P67" s="22"/>
      <c r="Q67" s="19"/>
      <c r="R67" s="20"/>
      <c r="S67" s="20"/>
      <c r="T67" s="19"/>
      <c r="U67" s="19"/>
      <c r="V67" s="22"/>
      <c r="W67" s="19"/>
      <c r="X67" s="22"/>
      <c r="Y67" s="19"/>
      <c r="Z67" s="21"/>
      <c r="AA67" s="21"/>
      <c r="AB67" s="19"/>
      <c r="AC67" s="19"/>
      <c r="AD67" s="22"/>
      <c r="AE67" s="19"/>
      <c r="AF67" s="22"/>
      <c r="AG67" s="19"/>
      <c r="AH67" s="21"/>
      <c r="AI67" s="21"/>
      <c r="AJ67" s="19"/>
      <c r="AK67" s="19"/>
      <c r="AL67" s="22"/>
      <c r="AM67" s="19"/>
      <c r="AN67" s="22"/>
      <c r="AO67" s="19"/>
      <c r="AP67" s="21"/>
      <c r="AQ67" s="21"/>
      <c r="AR67" s="19"/>
      <c r="AS67" s="19"/>
      <c r="AT67" s="22"/>
      <c r="AU67" s="19"/>
      <c r="AV67" s="22"/>
      <c r="AW67" s="19"/>
      <c r="AX67" s="21"/>
      <c r="AY67" s="21"/>
      <c r="AZ67" s="19"/>
      <c r="BA67" s="19"/>
      <c r="BB67" s="22"/>
      <c r="BC67" s="19"/>
      <c r="BD67" s="22"/>
      <c r="BE67" s="19"/>
      <c r="BF67" s="21"/>
      <c r="BG67" s="21"/>
      <c r="BH67" s="19"/>
      <c r="BI67" s="19"/>
      <c r="BJ67" s="22"/>
      <c r="BK67" s="19"/>
      <c r="BL67" s="22"/>
      <c r="BM67" s="19"/>
      <c r="BN67" s="21"/>
      <c r="BO67" s="21"/>
      <c r="BP67" s="19"/>
      <c r="BQ67" s="19"/>
      <c r="BR67" s="22"/>
      <c r="BS67" s="19"/>
      <c r="BT67" s="22"/>
      <c r="BU67" s="19"/>
      <c r="BV67" s="21"/>
      <c r="BW67" s="21"/>
      <c r="BX67" s="19"/>
      <c r="BY67" s="19"/>
      <c r="BZ67" s="22"/>
      <c r="CA67" s="19"/>
      <c r="CB67" s="22"/>
      <c r="CC67" s="19"/>
      <c r="CD67" s="21"/>
      <c r="CE67" s="21"/>
      <c r="CF67" s="19"/>
      <c r="CG67" s="19"/>
      <c r="CH67" s="22"/>
      <c r="CI67" s="19"/>
      <c r="CJ67" s="22"/>
      <c r="CK67" s="39"/>
      <c r="CL67" s="21"/>
      <c r="CM67" s="21"/>
      <c r="CN67" s="19"/>
      <c r="CO67" s="19"/>
      <c r="CP67" s="22"/>
      <c r="CQ67" s="39"/>
      <c r="CR67" s="22"/>
      <c r="CS67" s="39"/>
      <c r="CT67" s="21"/>
      <c r="CU67" s="21"/>
      <c r="CV67" s="19"/>
      <c r="CW67" s="19"/>
      <c r="CX67" s="22"/>
      <c r="CY67" s="39"/>
      <c r="CZ67" s="22"/>
      <c r="DA67" s="19"/>
      <c r="DB67" s="21"/>
      <c r="DC67" s="21"/>
      <c r="DD67" s="19"/>
      <c r="DE67" s="19"/>
      <c r="DF67" s="22" t="e">
        <f t="shared" si="43"/>
        <v>#DIV/0!</v>
      </c>
      <c r="DG67" s="19"/>
      <c r="DH67" s="19"/>
      <c r="DI67" s="29" t="e">
        <f t="shared" si="44"/>
        <v>#DIV/0!</v>
      </c>
      <c r="DJ67" s="27"/>
      <c r="DK67" s="27"/>
      <c r="DL67" s="23"/>
      <c r="DM67" s="19"/>
      <c r="DN67" s="19"/>
      <c r="DO67" s="19"/>
      <c r="DP67" s="24" t="e">
        <f t="shared" si="45"/>
        <v>#DIV/0!</v>
      </c>
      <c r="DQ67" s="28"/>
    </row>
    <row r="68" spans="1:121">
      <c r="A68" s="3"/>
      <c r="C68" s="19"/>
      <c r="D68" s="19"/>
      <c r="E68" s="19"/>
      <c r="F68" s="19"/>
      <c r="G68" s="19"/>
      <c r="H68" s="19"/>
      <c r="I68" s="19"/>
      <c r="J68" s="19"/>
      <c r="K68" s="30"/>
      <c r="L68" s="19"/>
      <c r="M68" s="19"/>
      <c r="N68" s="22"/>
      <c r="O68" s="39"/>
      <c r="P68" s="22"/>
      <c r="Q68" s="19"/>
      <c r="R68" s="20"/>
      <c r="S68" s="20"/>
      <c r="T68" s="19"/>
      <c r="U68" s="19"/>
      <c r="V68" s="22"/>
      <c r="W68" s="19"/>
      <c r="X68" s="22"/>
      <c r="Y68" s="19"/>
      <c r="Z68" s="21"/>
      <c r="AA68" s="21"/>
      <c r="AB68" s="19"/>
      <c r="AC68" s="19"/>
      <c r="AD68" s="22"/>
      <c r="AE68" s="19"/>
      <c r="AF68" s="22"/>
      <c r="AG68" s="19"/>
      <c r="AH68" s="21"/>
      <c r="AI68" s="21"/>
      <c r="AJ68" s="19"/>
      <c r="AK68" s="19"/>
      <c r="AL68" s="22"/>
      <c r="AM68" s="19"/>
      <c r="AN68" s="22"/>
      <c r="AO68" s="19"/>
      <c r="AP68" s="21"/>
      <c r="AQ68" s="21"/>
      <c r="AR68" s="19"/>
      <c r="AS68" s="19"/>
      <c r="AT68" s="22"/>
      <c r="AU68" s="19"/>
      <c r="AV68" s="22"/>
      <c r="AW68" s="19"/>
      <c r="AX68" s="21"/>
      <c r="AY68" s="21"/>
      <c r="AZ68" s="19"/>
      <c r="BA68" s="19"/>
      <c r="BB68" s="22"/>
      <c r="BC68" s="19"/>
      <c r="BD68" s="22"/>
      <c r="BE68" s="19"/>
      <c r="BF68" s="21"/>
      <c r="BG68" s="21"/>
      <c r="BH68" s="19"/>
      <c r="BI68" s="19"/>
      <c r="BJ68" s="22"/>
      <c r="BK68" s="19"/>
      <c r="BL68" s="22"/>
      <c r="BM68" s="19"/>
      <c r="BN68" s="21"/>
      <c r="BO68" s="21"/>
      <c r="BP68" s="19"/>
      <c r="BQ68" s="19"/>
      <c r="BR68" s="22"/>
      <c r="BS68" s="19"/>
      <c r="BT68" s="22"/>
      <c r="BU68" s="19"/>
      <c r="BV68" s="21"/>
      <c r="BW68" s="21"/>
      <c r="BX68" s="19"/>
      <c r="BY68" s="19"/>
      <c r="BZ68" s="22"/>
      <c r="CA68" s="19"/>
      <c r="CB68" s="22"/>
      <c r="CC68" s="19"/>
      <c r="CD68" s="21"/>
      <c r="CE68" s="21"/>
      <c r="CF68" s="19"/>
      <c r="CG68" s="19"/>
      <c r="CH68" s="22"/>
      <c r="CI68" s="19"/>
      <c r="CJ68" s="22"/>
      <c r="CK68" s="39"/>
      <c r="CL68" s="21"/>
      <c r="CM68" s="21"/>
      <c r="CN68" s="19"/>
      <c r="CO68" s="19"/>
      <c r="CP68" s="22"/>
      <c r="CQ68" s="39"/>
      <c r="CR68" s="22"/>
      <c r="CS68" s="39"/>
      <c r="CT68" s="21"/>
      <c r="CU68" s="21"/>
      <c r="CV68" s="19"/>
      <c r="CW68" s="19"/>
      <c r="CX68" s="22"/>
      <c r="CY68" s="39"/>
      <c r="CZ68" s="22"/>
      <c r="DA68" s="19"/>
      <c r="DB68" s="21"/>
      <c r="DC68" s="21"/>
      <c r="DD68" s="19"/>
      <c r="DE68" s="19"/>
      <c r="DF68" s="22" t="e">
        <f t="shared" si="43"/>
        <v>#DIV/0!</v>
      </c>
      <c r="DG68" s="19"/>
      <c r="DH68" s="19"/>
      <c r="DI68" s="29" t="e">
        <f t="shared" si="44"/>
        <v>#DIV/0!</v>
      </c>
      <c r="DJ68" s="27"/>
      <c r="DK68" s="27"/>
      <c r="DL68" s="23"/>
      <c r="DM68" s="19"/>
      <c r="DN68" s="19"/>
      <c r="DO68" s="19"/>
      <c r="DP68" s="24" t="e">
        <f t="shared" si="45"/>
        <v>#DIV/0!</v>
      </c>
      <c r="DQ68" s="28"/>
    </row>
    <row r="69" spans="1:121">
      <c r="A69" s="3"/>
      <c r="C69" s="19"/>
      <c r="D69" s="19"/>
      <c r="E69" s="19"/>
      <c r="F69" s="19"/>
      <c r="G69" s="19"/>
      <c r="H69" s="19"/>
      <c r="I69" s="19"/>
      <c r="J69" s="19"/>
      <c r="K69" s="30"/>
      <c r="L69" s="19"/>
      <c r="M69" s="19"/>
      <c r="N69" s="22"/>
      <c r="O69" s="39"/>
      <c r="P69" s="22"/>
      <c r="Q69" s="19"/>
      <c r="R69" s="20"/>
      <c r="S69" s="20"/>
      <c r="T69" s="19"/>
      <c r="U69" s="19"/>
      <c r="V69" s="22"/>
      <c r="W69" s="19"/>
      <c r="X69" s="22"/>
      <c r="Y69" s="19"/>
      <c r="Z69" s="21"/>
      <c r="AA69" s="21"/>
      <c r="AB69" s="19"/>
      <c r="AC69" s="19"/>
      <c r="AD69" s="22"/>
      <c r="AE69" s="19"/>
      <c r="AF69" s="22"/>
      <c r="AG69" s="19"/>
      <c r="AH69" s="21"/>
      <c r="AI69" s="21"/>
      <c r="AJ69" s="19"/>
      <c r="AK69" s="19"/>
      <c r="AL69" s="22"/>
      <c r="AM69" s="19"/>
      <c r="AN69" s="22"/>
      <c r="AO69" s="19"/>
      <c r="AP69" s="21"/>
      <c r="AQ69" s="21"/>
      <c r="AR69" s="19"/>
      <c r="AS69" s="19"/>
      <c r="AT69" s="22"/>
      <c r="AU69" s="19"/>
      <c r="AV69" s="22"/>
      <c r="AW69" s="19"/>
      <c r="AX69" s="21"/>
      <c r="AY69" s="21"/>
      <c r="AZ69" s="19"/>
      <c r="BA69" s="19"/>
      <c r="BB69" s="22"/>
      <c r="BC69" s="19"/>
      <c r="BD69" s="22"/>
      <c r="BE69" s="19"/>
      <c r="BF69" s="21"/>
      <c r="BG69" s="21"/>
      <c r="BH69" s="19"/>
      <c r="BI69" s="19"/>
      <c r="BJ69" s="22"/>
      <c r="BK69" s="19"/>
      <c r="BL69" s="22"/>
      <c r="BM69" s="19"/>
      <c r="BN69" s="21"/>
      <c r="BO69" s="21"/>
      <c r="BP69" s="19"/>
      <c r="BQ69" s="19"/>
      <c r="BR69" s="22"/>
      <c r="BS69" s="19"/>
      <c r="BT69" s="22"/>
      <c r="BU69" s="19"/>
      <c r="BV69" s="21"/>
      <c r="BW69" s="21"/>
      <c r="BX69" s="19"/>
      <c r="BY69" s="19"/>
      <c r="BZ69" s="22"/>
      <c r="CA69" s="19"/>
      <c r="CB69" s="22"/>
      <c r="CC69" s="19"/>
      <c r="CD69" s="21"/>
      <c r="CE69" s="21"/>
      <c r="CF69" s="19"/>
      <c r="CG69" s="19"/>
      <c r="CH69" s="22"/>
      <c r="CI69" s="19"/>
      <c r="CJ69" s="22"/>
      <c r="CK69" s="39"/>
      <c r="CL69" s="21"/>
      <c r="CM69" s="21"/>
      <c r="CN69" s="19"/>
      <c r="CO69" s="19"/>
      <c r="CP69" s="22"/>
      <c r="CQ69" s="39"/>
      <c r="CR69" s="22"/>
      <c r="CS69" s="39"/>
      <c r="CT69" s="21"/>
      <c r="CU69" s="21"/>
      <c r="CV69" s="19"/>
      <c r="CW69" s="19"/>
      <c r="CX69" s="22"/>
      <c r="CY69" s="39"/>
      <c r="CZ69" s="22"/>
      <c r="DA69" s="19"/>
      <c r="DB69" s="21"/>
      <c r="DC69" s="21"/>
      <c r="DD69" s="19"/>
      <c r="DE69" s="19"/>
      <c r="DF69" s="22" t="e">
        <f t="shared" si="43"/>
        <v>#DIV/0!</v>
      </c>
      <c r="DG69" s="19"/>
      <c r="DH69" s="19"/>
      <c r="DI69" s="29" t="e">
        <f t="shared" si="44"/>
        <v>#DIV/0!</v>
      </c>
      <c r="DJ69" s="27"/>
      <c r="DK69" s="27"/>
      <c r="DL69" s="23"/>
      <c r="DM69" s="19"/>
      <c r="DN69" s="19"/>
      <c r="DO69" s="19"/>
      <c r="DP69" s="24" t="e">
        <f t="shared" si="45"/>
        <v>#DIV/0!</v>
      </c>
      <c r="DQ69" s="28"/>
    </row>
    <row r="70" spans="1:121">
      <c r="A70" s="3"/>
      <c r="C70" s="19"/>
      <c r="D70" s="19"/>
      <c r="E70" s="19"/>
      <c r="F70" s="19"/>
      <c r="G70" s="19"/>
      <c r="H70" s="19"/>
      <c r="I70" s="19"/>
      <c r="J70" s="19"/>
      <c r="K70" s="30"/>
      <c r="L70" s="19"/>
      <c r="M70" s="19"/>
      <c r="N70" s="22"/>
      <c r="O70" s="39"/>
      <c r="P70" s="22"/>
      <c r="Q70" s="19"/>
      <c r="R70" s="20"/>
      <c r="S70" s="20"/>
      <c r="T70" s="19"/>
      <c r="U70" s="19"/>
      <c r="V70" s="22"/>
      <c r="W70" s="19"/>
      <c r="X70" s="22"/>
      <c r="Y70" s="19"/>
      <c r="Z70" s="21"/>
      <c r="AA70" s="21"/>
      <c r="AB70" s="19"/>
      <c r="AC70" s="19"/>
      <c r="AD70" s="22"/>
      <c r="AE70" s="19"/>
      <c r="AF70" s="22"/>
      <c r="AG70" s="19"/>
      <c r="AH70" s="21"/>
      <c r="AI70" s="21"/>
      <c r="AJ70" s="19"/>
      <c r="AK70" s="19"/>
      <c r="AL70" s="22"/>
      <c r="AM70" s="19"/>
      <c r="AN70" s="22"/>
      <c r="AO70" s="19"/>
      <c r="AP70" s="21"/>
      <c r="AQ70" s="21"/>
      <c r="AR70" s="19"/>
      <c r="AS70" s="19"/>
      <c r="AT70" s="22"/>
      <c r="AU70" s="19"/>
      <c r="AV70" s="22"/>
      <c r="AW70" s="19"/>
      <c r="AX70" s="21"/>
      <c r="AY70" s="21"/>
      <c r="AZ70" s="19"/>
      <c r="BA70" s="19"/>
      <c r="BB70" s="22"/>
      <c r="BC70" s="19"/>
      <c r="BD70" s="22"/>
      <c r="BE70" s="19"/>
      <c r="BF70" s="21"/>
      <c r="BG70" s="21"/>
      <c r="BH70" s="19"/>
      <c r="BI70" s="19"/>
      <c r="BJ70" s="22"/>
      <c r="BK70" s="19"/>
      <c r="BL70" s="22"/>
      <c r="BM70" s="19"/>
      <c r="BN70" s="21"/>
      <c r="BO70" s="21"/>
      <c r="BP70" s="19"/>
      <c r="BQ70" s="19"/>
      <c r="BR70" s="22"/>
      <c r="BS70" s="19"/>
      <c r="BT70" s="22"/>
      <c r="BU70" s="19"/>
      <c r="BV70" s="21"/>
      <c r="BW70" s="21"/>
      <c r="BX70" s="19"/>
      <c r="BY70" s="19"/>
      <c r="BZ70" s="22"/>
      <c r="CA70" s="19"/>
      <c r="CB70" s="22"/>
      <c r="CC70" s="19"/>
      <c r="CD70" s="21"/>
      <c r="CE70" s="21"/>
      <c r="CF70" s="19"/>
      <c r="CG70" s="19"/>
      <c r="CH70" s="22"/>
      <c r="CI70" s="19"/>
      <c r="CJ70" s="22"/>
      <c r="CK70" s="39"/>
      <c r="CL70" s="21"/>
      <c r="CM70" s="21"/>
      <c r="CN70" s="19"/>
      <c r="CO70" s="19"/>
      <c r="CP70" s="22"/>
      <c r="CQ70" s="39"/>
      <c r="CR70" s="22"/>
      <c r="CS70" s="39"/>
      <c r="CT70" s="21"/>
      <c r="CU70" s="21"/>
      <c r="CV70" s="19"/>
      <c r="CW70" s="19"/>
      <c r="CX70" s="22"/>
      <c r="CY70" s="39"/>
      <c r="CZ70" s="22"/>
      <c r="DA70" s="19"/>
      <c r="DB70" s="21"/>
      <c r="DC70" s="21"/>
      <c r="DD70" s="19"/>
      <c r="DE70" s="19"/>
      <c r="DF70" s="22" t="e">
        <f t="shared" ref="DF70:DF71" si="46">DE70/DD70</f>
        <v>#DIV/0!</v>
      </c>
      <c r="DG70" s="19"/>
      <c r="DH70" s="19"/>
      <c r="DI70" s="29" t="e">
        <f t="shared" ref="DI70:DI71" si="47">DH70/DG70</f>
        <v>#DIV/0!</v>
      </c>
      <c r="DJ70" s="27"/>
      <c r="DK70" s="27"/>
      <c r="DL70" s="23"/>
      <c r="DM70" s="19"/>
      <c r="DN70" s="19"/>
      <c r="DO70" s="19"/>
      <c r="DP70" s="24" t="e">
        <f t="shared" ref="DP70:DP71" si="48">DD70/DM70</f>
        <v>#DIV/0!</v>
      </c>
      <c r="DQ70" s="28"/>
    </row>
    <row r="71" spans="1:121">
      <c r="A71" s="3"/>
      <c r="C71" s="19"/>
      <c r="D71" s="19"/>
      <c r="E71" s="19"/>
      <c r="F71" s="19"/>
      <c r="G71" s="19"/>
      <c r="H71" s="19"/>
      <c r="I71" s="19"/>
      <c r="J71" s="19"/>
      <c r="K71" s="30"/>
      <c r="L71" s="19"/>
      <c r="M71" s="19"/>
      <c r="N71" s="22"/>
      <c r="O71" s="39"/>
      <c r="P71" s="22"/>
      <c r="Q71" s="19"/>
      <c r="R71" s="20"/>
      <c r="S71" s="20"/>
      <c r="T71" s="19"/>
      <c r="U71" s="19"/>
      <c r="V71" s="22"/>
      <c r="W71" s="19"/>
      <c r="X71" s="22"/>
      <c r="Y71" s="19"/>
      <c r="Z71" s="21"/>
      <c r="AA71" s="21"/>
      <c r="AB71" s="19"/>
      <c r="AC71" s="19"/>
      <c r="AD71" s="22"/>
      <c r="AE71" s="19"/>
      <c r="AF71" s="22"/>
      <c r="AG71" s="19"/>
      <c r="AH71" s="21"/>
      <c r="AI71" s="21"/>
      <c r="AJ71" s="19"/>
      <c r="AK71" s="19"/>
      <c r="AL71" s="22"/>
      <c r="AM71" s="19"/>
      <c r="AN71" s="22"/>
      <c r="AO71" s="19"/>
      <c r="AP71" s="21"/>
      <c r="AQ71" s="21"/>
      <c r="AR71" s="19"/>
      <c r="AS71" s="19"/>
      <c r="AT71" s="22"/>
      <c r="AU71" s="19"/>
      <c r="AV71" s="22"/>
      <c r="AW71" s="19"/>
      <c r="AX71" s="21"/>
      <c r="AY71" s="21"/>
      <c r="AZ71" s="19"/>
      <c r="BA71" s="19"/>
      <c r="BB71" s="22"/>
      <c r="BC71" s="19"/>
      <c r="BD71" s="22"/>
      <c r="BE71" s="19"/>
      <c r="BF71" s="21"/>
      <c r="BG71" s="21"/>
      <c r="BH71" s="19"/>
      <c r="BI71" s="19"/>
      <c r="BJ71" s="22"/>
      <c r="BK71" s="19"/>
      <c r="BL71" s="22"/>
      <c r="BM71" s="19"/>
      <c r="BN71" s="21"/>
      <c r="BO71" s="21"/>
      <c r="BP71" s="19"/>
      <c r="BQ71" s="19"/>
      <c r="BR71" s="22"/>
      <c r="BS71" s="19"/>
      <c r="BT71" s="22"/>
      <c r="BU71" s="19"/>
      <c r="BV71" s="21"/>
      <c r="BW71" s="21"/>
      <c r="BX71" s="19"/>
      <c r="BY71" s="19"/>
      <c r="BZ71" s="22"/>
      <c r="CA71" s="19"/>
      <c r="CB71" s="22"/>
      <c r="CC71" s="19"/>
      <c r="CD71" s="21"/>
      <c r="CE71" s="21"/>
      <c r="CF71" s="19"/>
      <c r="CG71" s="19"/>
      <c r="CH71" s="22"/>
      <c r="CI71" s="19"/>
      <c r="CJ71" s="22"/>
      <c r="CK71" s="39"/>
      <c r="CL71" s="21"/>
      <c r="CM71" s="21"/>
      <c r="CN71" s="19"/>
      <c r="CO71" s="19"/>
      <c r="CP71" s="22"/>
      <c r="CQ71" s="39"/>
      <c r="CR71" s="22"/>
      <c r="CS71" s="39"/>
      <c r="CT71" s="21"/>
      <c r="CU71" s="21"/>
      <c r="CV71" s="19"/>
      <c r="CW71" s="19"/>
      <c r="CX71" s="22"/>
      <c r="CY71" s="39"/>
      <c r="CZ71" s="22"/>
      <c r="DA71" s="19"/>
      <c r="DB71" s="21"/>
      <c r="DC71" s="21"/>
      <c r="DD71" s="19"/>
      <c r="DE71" s="19"/>
      <c r="DF71" s="22" t="e">
        <f t="shared" si="46"/>
        <v>#DIV/0!</v>
      </c>
      <c r="DG71" s="19"/>
      <c r="DH71" s="19"/>
      <c r="DI71" s="29" t="e">
        <f t="shared" si="47"/>
        <v>#DIV/0!</v>
      </c>
      <c r="DJ71" s="27"/>
      <c r="DK71" s="27"/>
      <c r="DL71" s="23"/>
      <c r="DM71" s="19"/>
      <c r="DN71" s="19"/>
      <c r="DO71" s="19"/>
      <c r="DP71" s="24" t="e">
        <f t="shared" si="48"/>
        <v>#DIV/0!</v>
      </c>
      <c r="DQ71" s="28"/>
    </row>
    <row r="72" spans="1:121">
      <c r="A72" s="3"/>
      <c r="C72" s="19"/>
      <c r="D72" s="19"/>
      <c r="E72" s="19"/>
      <c r="F72" s="19"/>
      <c r="G72" s="19"/>
      <c r="H72" s="19"/>
      <c r="I72" s="19"/>
      <c r="J72" s="19"/>
      <c r="K72" s="30"/>
      <c r="L72" s="19"/>
      <c r="M72" s="19"/>
      <c r="N72" s="22"/>
      <c r="O72" s="39"/>
      <c r="P72" s="22"/>
      <c r="Q72" s="19"/>
      <c r="R72" s="20"/>
      <c r="S72" s="20"/>
      <c r="T72" s="19"/>
      <c r="U72" s="19"/>
      <c r="V72" s="22"/>
      <c r="W72" s="19"/>
      <c r="X72" s="22"/>
      <c r="Y72" s="19"/>
      <c r="Z72" s="21"/>
      <c r="AA72" s="21"/>
      <c r="AB72" s="19"/>
      <c r="AC72" s="19"/>
      <c r="AD72" s="22"/>
      <c r="AE72" s="19"/>
      <c r="AF72" s="22"/>
      <c r="AG72" s="19"/>
      <c r="AH72" s="21"/>
      <c r="AI72" s="21"/>
      <c r="AJ72" s="19"/>
      <c r="AK72" s="19"/>
      <c r="AL72" s="22"/>
      <c r="AM72" s="19"/>
      <c r="AN72" s="22"/>
      <c r="AO72" s="19"/>
      <c r="AP72" s="21"/>
      <c r="AQ72" s="21"/>
      <c r="AR72" s="19"/>
      <c r="AS72" s="19"/>
      <c r="AT72" s="22"/>
      <c r="AU72" s="19"/>
      <c r="AV72" s="22"/>
      <c r="AW72" s="19"/>
      <c r="AX72" s="21"/>
      <c r="AY72" s="21"/>
      <c r="AZ72" s="19"/>
      <c r="BA72" s="19"/>
      <c r="BB72" s="22"/>
      <c r="BC72" s="19"/>
      <c r="BD72" s="22"/>
      <c r="BE72" s="19"/>
      <c r="BF72" s="21"/>
      <c r="BG72" s="21"/>
      <c r="BH72" s="19"/>
      <c r="BI72" s="19"/>
      <c r="BJ72" s="22"/>
      <c r="BK72" s="19"/>
      <c r="BL72" s="22"/>
      <c r="BM72" s="19"/>
      <c r="BN72" s="21"/>
      <c r="BO72" s="21"/>
      <c r="BP72" s="19"/>
      <c r="BQ72" s="19"/>
      <c r="BR72" s="22"/>
      <c r="BS72" s="19"/>
      <c r="BT72" s="22"/>
      <c r="BU72" s="19"/>
      <c r="BV72" s="21"/>
      <c r="BW72" s="21"/>
      <c r="BX72" s="19"/>
      <c r="BY72" s="19"/>
      <c r="BZ72" s="22"/>
      <c r="CA72" s="19"/>
      <c r="CB72" s="22"/>
      <c r="CC72" s="19"/>
      <c r="CD72" s="21"/>
      <c r="CE72" s="21"/>
      <c r="CF72" s="19"/>
      <c r="CG72" s="19"/>
      <c r="CH72" s="22"/>
      <c r="CI72" s="19"/>
      <c r="CJ72" s="22"/>
      <c r="CK72" s="39"/>
      <c r="CL72" s="21"/>
      <c r="CM72" s="21"/>
      <c r="CN72" s="19"/>
      <c r="CO72" s="19"/>
      <c r="CP72" s="22"/>
      <c r="CQ72" s="39"/>
      <c r="CR72" s="22"/>
      <c r="CS72" s="39"/>
      <c r="CT72" s="21"/>
      <c r="CU72" s="21"/>
      <c r="CV72" s="19"/>
      <c r="CW72" s="19"/>
      <c r="CX72" s="22"/>
      <c r="CY72" s="39"/>
      <c r="CZ72" s="22"/>
      <c r="DA72" s="19"/>
      <c r="DB72" s="21"/>
      <c r="DC72" s="21"/>
      <c r="DD72" s="19"/>
      <c r="DE72" s="19"/>
      <c r="DF72" s="22" t="e">
        <f>DE72/DD72</f>
        <v>#DIV/0!</v>
      </c>
      <c r="DG72" s="19"/>
      <c r="DH72" s="19"/>
      <c r="DI72" s="29" t="e">
        <f>DH72/DG72</f>
        <v>#DIV/0!</v>
      </c>
      <c r="DJ72" s="27"/>
      <c r="DK72" s="27"/>
      <c r="DL72" s="23"/>
      <c r="DM72" s="19"/>
      <c r="DN72" s="19"/>
      <c r="DO72" s="19"/>
      <c r="DP72" s="24" t="e">
        <f>DD72/DM72</f>
        <v>#DIV/0!</v>
      </c>
      <c r="DQ72" s="28"/>
    </row>
    <row r="73" spans="1:121">
      <c r="A73" s="3"/>
      <c r="C73" s="19"/>
      <c r="D73" s="19"/>
      <c r="E73" s="19"/>
      <c r="F73" s="19"/>
      <c r="G73" s="19"/>
      <c r="H73" s="19"/>
      <c r="I73" s="19"/>
      <c r="J73" s="19"/>
      <c r="K73" s="30"/>
      <c r="L73" s="19"/>
      <c r="M73" s="19"/>
      <c r="N73" s="22"/>
      <c r="O73" s="39"/>
      <c r="P73" s="22"/>
      <c r="Q73" s="19"/>
      <c r="R73" s="20"/>
      <c r="S73" s="20"/>
      <c r="T73" s="19"/>
      <c r="U73" s="19"/>
      <c r="V73" s="22"/>
      <c r="W73" s="19"/>
      <c r="X73" s="22"/>
      <c r="Y73" s="19"/>
      <c r="Z73" s="21"/>
      <c r="AA73" s="21"/>
      <c r="AB73" s="19"/>
      <c r="AC73" s="19"/>
      <c r="AD73" s="22"/>
      <c r="AE73" s="19"/>
      <c r="AF73" s="22"/>
      <c r="AG73" s="19"/>
      <c r="AH73" s="21"/>
      <c r="AI73" s="21"/>
      <c r="AJ73" s="19"/>
      <c r="AK73" s="19"/>
      <c r="AL73" s="22"/>
      <c r="AM73" s="19"/>
      <c r="AN73" s="22"/>
      <c r="AO73" s="19"/>
      <c r="AP73" s="21"/>
      <c r="AQ73" s="21"/>
      <c r="AR73" s="19"/>
      <c r="AS73" s="19"/>
      <c r="AT73" s="22"/>
      <c r="AU73" s="19"/>
      <c r="AV73" s="22"/>
      <c r="AW73" s="19"/>
      <c r="AX73" s="21"/>
      <c r="AY73" s="21"/>
      <c r="AZ73" s="19"/>
      <c r="BA73" s="19"/>
      <c r="BB73" s="22"/>
      <c r="BC73" s="19"/>
      <c r="BD73" s="22"/>
      <c r="BE73" s="19"/>
      <c r="BF73" s="21"/>
      <c r="BG73" s="21"/>
      <c r="BH73" s="19"/>
      <c r="BI73" s="19"/>
      <c r="BJ73" s="22"/>
      <c r="BK73" s="19"/>
      <c r="BL73" s="22"/>
      <c r="BM73" s="19"/>
      <c r="BN73" s="21"/>
      <c r="BO73" s="21"/>
      <c r="BP73" s="19"/>
      <c r="BQ73" s="19"/>
      <c r="BR73" s="22"/>
      <c r="BS73" s="19"/>
      <c r="BT73" s="22"/>
      <c r="BU73" s="19"/>
      <c r="BV73" s="21"/>
      <c r="BW73" s="21"/>
      <c r="BX73" s="19"/>
      <c r="BY73" s="19"/>
      <c r="BZ73" s="22"/>
      <c r="CA73" s="19"/>
      <c r="CB73" s="22"/>
      <c r="CC73" s="19"/>
      <c r="CD73" s="21"/>
      <c r="CE73" s="21"/>
      <c r="CF73" s="19"/>
      <c r="CG73" s="19"/>
      <c r="CH73" s="22"/>
      <c r="CI73" s="19"/>
      <c r="CJ73" s="22"/>
      <c r="CK73" s="39"/>
      <c r="CL73" s="21"/>
      <c r="CM73" s="21"/>
      <c r="CN73" s="19"/>
      <c r="CO73" s="19"/>
      <c r="CP73" s="22"/>
      <c r="CQ73" s="39"/>
      <c r="CR73" s="22"/>
      <c r="CS73" s="39"/>
      <c r="CT73" s="21"/>
      <c r="CU73" s="21"/>
      <c r="CV73" s="19"/>
      <c r="CW73" s="19"/>
      <c r="CX73" s="22"/>
      <c r="CY73" s="39"/>
      <c r="CZ73" s="22"/>
      <c r="DA73" s="19"/>
      <c r="DB73" s="21"/>
      <c r="DC73" s="21"/>
      <c r="DD73" s="19"/>
      <c r="DE73" s="19"/>
      <c r="DF73" s="22" t="e">
        <f>DE73/DD73</f>
        <v>#DIV/0!</v>
      </c>
      <c r="DG73" s="19"/>
      <c r="DH73" s="19"/>
      <c r="DI73" s="29" t="e">
        <f>DH73/DG73</f>
        <v>#DIV/0!</v>
      </c>
      <c r="DJ73" s="27"/>
      <c r="DK73" s="27"/>
      <c r="DL73" s="23"/>
      <c r="DM73" s="19"/>
      <c r="DN73" s="19"/>
      <c r="DO73" s="19"/>
      <c r="DP73" s="24" t="e">
        <f>DD73/DM73</f>
        <v>#DIV/0!</v>
      </c>
      <c r="DQ73" s="28"/>
    </row>
    <row r="74" spans="1:121">
      <c r="B74" s="17" t="s">
        <v>168</v>
      </c>
      <c r="C74" s="19">
        <f>SUM(C5:C73)</f>
        <v>1333500</v>
      </c>
      <c r="D74" s="19">
        <f t="shared" ref="D74:O74" si="49">SUM(D5:D73)</f>
        <v>1636326</v>
      </c>
      <c r="E74" s="19">
        <f t="shared" si="49"/>
        <v>1766392</v>
      </c>
      <c r="F74" s="19">
        <f t="shared" si="49"/>
        <v>2101515</v>
      </c>
      <c r="G74" s="19">
        <f t="shared" si="49"/>
        <v>1660360</v>
      </c>
      <c r="H74" s="19">
        <f t="shared" si="49"/>
        <v>1829970</v>
      </c>
      <c r="I74" s="19">
        <f t="shared" si="49"/>
        <v>2189080</v>
      </c>
      <c r="J74" s="19">
        <f t="shared" si="49"/>
        <v>1612722</v>
      </c>
      <c r="K74" s="19">
        <f t="shared" si="49"/>
        <v>2150296.0000000005</v>
      </c>
      <c r="L74" s="19">
        <f t="shared" si="49"/>
        <v>296100</v>
      </c>
      <c r="M74" s="19">
        <f t="shared" si="49"/>
        <v>344433</v>
      </c>
      <c r="N74" s="22">
        <f>O74/L74</f>
        <v>0.21450904424181022</v>
      </c>
      <c r="O74" s="19">
        <f t="shared" si="49"/>
        <v>63516.128000000004</v>
      </c>
      <c r="P74" s="22">
        <f>Q74/M74</f>
        <v>0.25628003123974763</v>
      </c>
      <c r="Q74" s="19">
        <f t="shared" ref="Q74:R74" si="50">SUM(Q5:Q73)</f>
        <v>88271.3</v>
      </c>
      <c r="R74" s="20">
        <f t="shared" si="50"/>
        <v>36</v>
      </c>
      <c r="S74" s="20">
        <f t="shared" ref="R74:S74" si="51">SUM(S5:S73)</f>
        <v>37</v>
      </c>
      <c r="T74" s="19">
        <f t="shared" ref="T74" si="52">SUM(T5:T73)</f>
        <v>234500</v>
      </c>
      <c r="U74" s="19">
        <f t="shared" ref="U74" si="53">SUM(U5:U73)</f>
        <v>277833</v>
      </c>
      <c r="V74" s="22">
        <f>W74/T74</f>
        <v>0.32886621748400852</v>
      </c>
      <c r="W74" s="19">
        <f t="shared" ref="W74" si="54">SUM(W5:W73)</f>
        <v>77119.127999999997</v>
      </c>
      <c r="X74" s="22">
        <f>Y74/U74</f>
        <v>0.39529609513628694</v>
      </c>
      <c r="Y74" s="19">
        <f t="shared" ref="Y74:Z74" si="55">SUM(Y5:Y73)</f>
        <v>109826.3</v>
      </c>
      <c r="Z74" s="20">
        <f t="shared" si="55"/>
        <v>36</v>
      </c>
      <c r="AA74" s="20">
        <f t="shared" ref="Z74:AA74" si="56">SUM(AA5:AA73)</f>
        <v>39</v>
      </c>
      <c r="AB74" s="19">
        <f t="shared" ref="AB74" si="57">SUM(AB5:AB73)</f>
        <v>266400</v>
      </c>
      <c r="AC74" s="19">
        <f t="shared" ref="AC74" si="58">SUM(AC5:AC73)</f>
        <v>293833</v>
      </c>
      <c r="AD74" s="22">
        <f>AE74/AB74</f>
        <v>0.3283600900900901</v>
      </c>
      <c r="AE74" s="19">
        <f t="shared" ref="AE74" si="59">SUM(AE5:AE73)</f>
        <v>87475.127999999997</v>
      </c>
      <c r="AF74" s="22">
        <f>AG74/AC74</f>
        <v>0.38959647146508392</v>
      </c>
      <c r="AG74" s="19">
        <f t="shared" ref="AG74:AH74" si="60">SUM(AG5:AG73)</f>
        <v>114476.3</v>
      </c>
      <c r="AH74" s="20">
        <f t="shared" si="60"/>
        <v>37</v>
      </c>
      <c r="AI74" s="20">
        <f t="shared" ref="AH74:AI74" si="61">SUM(AI5:AI73)</f>
        <v>40</v>
      </c>
      <c r="AJ74" s="19">
        <f t="shared" ref="AJ74" si="62">SUM(AJ5:AJ73)</f>
        <v>359400</v>
      </c>
      <c r="AK74" s="19">
        <f t="shared" ref="AK74" si="63">SUM(AK5:AK73)</f>
        <v>381833</v>
      </c>
      <c r="AL74" s="22">
        <f>AM74/AJ74</f>
        <v>0.26173936560934891</v>
      </c>
      <c r="AM74" s="19">
        <f t="shared" ref="AM74" si="64">SUM(AM5:AM73)</f>
        <v>94069.127999999997</v>
      </c>
      <c r="AN74" s="22">
        <f>AO74/AK74</f>
        <v>0.30970686137657039</v>
      </c>
      <c r="AO74" s="19">
        <f t="shared" ref="AO74:AP74" si="65">SUM(AO5:AO73)</f>
        <v>118256.3</v>
      </c>
      <c r="AP74" s="20">
        <f t="shared" si="65"/>
        <v>43</v>
      </c>
      <c r="AQ74" s="20">
        <f t="shared" ref="AP74:AQ74" si="66">SUM(AQ5:AQ73)</f>
        <v>42</v>
      </c>
      <c r="AR74" s="19">
        <f t="shared" ref="AR74" si="67">SUM(AR5:AR73)</f>
        <v>236250</v>
      </c>
      <c r="AS74" s="19">
        <f t="shared" ref="AS74" si="68">SUM(AS5:AS73)</f>
        <v>262833</v>
      </c>
      <c r="AT74" s="22">
        <f>AU74/AR74</f>
        <v>0.36614022433862431</v>
      </c>
      <c r="AU74" s="19">
        <f t="shared" ref="AU74" si="69">SUM(AU5:AU73)</f>
        <v>86500.627999999997</v>
      </c>
      <c r="AV74" s="22">
        <f>AW74/AS74</f>
        <v>0.44060791453128034</v>
      </c>
      <c r="AW74" s="19">
        <f t="shared" ref="AW74:AX74" si="70">SUM(AW5:AW73)</f>
        <v>115806.3</v>
      </c>
      <c r="AX74" s="20">
        <f t="shared" si="70"/>
        <v>38</v>
      </c>
      <c r="AY74" s="20">
        <f t="shared" ref="AX74:AY74" si="71">SUM(AY5:AY73)</f>
        <v>41</v>
      </c>
      <c r="AZ74" s="19">
        <f t="shared" ref="AZ74" si="72">SUM(AZ5:AZ73)</f>
        <v>248500</v>
      </c>
      <c r="BA74" s="19">
        <f t="shared" ref="BA74" si="73">SUM(BA5:BA73)</f>
        <v>273333</v>
      </c>
      <c r="BB74" s="22">
        <f>BC74/AZ74</f>
        <v>0.33349347283702213</v>
      </c>
      <c r="BC74" s="19">
        <f t="shared" ref="BC74" si="74">SUM(BC5:BC73)</f>
        <v>82873.127999999997</v>
      </c>
      <c r="BD74" s="22">
        <f>BE74/BA74</f>
        <v>0.41632843454687141</v>
      </c>
      <c r="BE74" s="19">
        <f t="shared" ref="BE74:BF74" si="75">SUM(BE5:BE73)</f>
        <v>113796.3</v>
      </c>
      <c r="BF74" s="20">
        <f t="shared" si="75"/>
        <v>39</v>
      </c>
      <c r="BG74" s="20">
        <f t="shared" ref="BF74:BG74" si="76">SUM(BG5:BG73)</f>
        <v>40</v>
      </c>
      <c r="BH74" s="19">
        <f t="shared" ref="BH74" si="77">SUM(BH5:BH73)</f>
        <v>391500</v>
      </c>
      <c r="BI74" s="19">
        <f t="shared" ref="BI74" si="78">SUM(BI5:BI73)</f>
        <v>424333</v>
      </c>
      <c r="BJ74" s="22">
        <f>BK74/BH74</f>
        <v>0.28020722349936145</v>
      </c>
      <c r="BK74" s="19">
        <f t="shared" ref="BK74" si="79">SUM(BK5:BK73)</f>
        <v>109701.128</v>
      </c>
      <c r="BL74" s="22">
        <f>BM74/BI74</f>
        <v>0.33027433642917237</v>
      </c>
      <c r="BM74" s="19">
        <f t="shared" ref="BM74" si="80">SUM(BM5:BM73)</f>
        <v>140146.29999999999</v>
      </c>
      <c r="BN74" s="20">
        <f t="shared" ref="BN74:BO74" si="81">SUM(BN5:BN73)</f>
        <v>39</v>
      </c>
      <c r="BO74" s="20">
        <f t="shared" si="81"/>
        <v>40</v>
      </c>
      <c r="BP74" s="19">
        <f t="shared" ref="BP74" si="82">SUM(BP5:BP73)</f>
        <v>264500</v>
      </c>
      <c r="BQ74" s="19">
        <f t="shared" ref="BQ74" si="83">SUM(BQ5:BQ73)</f>
        <v>303333</v>
      </c>
      <c r="BR74" s="22">
        <f>BS74/BP74</f>
        <v>0.40686626843100188</v>
      </c>
      <c r="BS74" s="19">
        <f t="shared" ref="BS74" si="84">SUM(BS5:BS73)</f>
        <v>107616.128</v>
      </c>
      <c r="BT74" s="22">
        <f>BU74/BQ74</f>
        <v>0.47224106839677843</v>
      </c>
      <c r="BU74" s="19">
        <f t="shared" ref="BU74" si="85">SUM(BU5:BU73)</f>
        <v>143246.29999999999</v>
      </c>
      <c r="BV74" s="19">
        <f t="shared" ref="BV74" si="86">SUM(BV5:BV73)</f>
        <v>38</v>
      </c>
      <c r="BW74" s="19">
        <f t="shared" ref="BW74" si="87">SUM(BW5:BW73)</f>
        <v>40</v>
      </c>
      <c r="BX74" s="19">
        <f t="shared" ref="BX74" si="88">SUM(BX5:BX73)</f>
        <v>274500</v>
      </c>
      <c r="BY74" s="19">
        <f t="shared" ref="BY74" si="89">SUM(BY5:BY73)</f>
        <v>324333</v>
      </c>
      <c r="BZ74" s="22">
        <f>CA74/BX74</f>
        <v>0.41390210564663021</v>
      </c>
      <c r="CA74" s="19">
        <f t="shared" ref="CA74" si="90">SUM(CA5:CA73)</f>
        <v>113616.128</v>
      </c>
      <c r="CB74" s="22">
        <f>CC74/BY74</f>
        <v>0.48402814391381693</v>
      </c>
      <c r="CC74" s="19">
        <f t="shared" ref="CC74" si="91">SUM(CC5:CC73)</f>
        <v>156986.29999999999</v>
      </c>
      <c r="CD74" s="19">
        <f t="shared" ref="CD74" si="92">SUM(CD5:CD73)</f>
        <v>38</v>
      </c>
      <c r="CE74" s="19">
        <f t="shared" ref="CE74" si="93">SUM(CE5:CE73)</f>
        <v>40</v>
      </c>
      <c r="CF74" s="19">
        <f t="shared" ref="CF74" si="94">SUM(CF5:CF73)</f>
        <v>427000</v>
      </c>
      <c r="CG74" s="19">
        <f t="shared" ref="CG74" si="95">SUM(CG5:CG73)</f>
        <v>492333</v>
      </c>
      <c r="CH74" s="22">
        <f>CI74/CF74</f>
        <v>0.36343823887587823</v>
      </c>
      <c r="CI74" s="19">
        <f t="shared" ref="CI74" si="96">SUM(CI5:CI73)</f>
        <v>155188.128</v>
      </c>
      <c r="CJ74" s="22">
        <f>CK74/CG74</f>
        <v>0.43717626078284411</v>
      </c>
      <c r="CK74" s="19">
        <f t="shared" ref="CK74" si="97">SUM(CK5:CK73)</f>
        <v>215236.3</v>
      </c>
      <c r="CL74" s="19">
        <f t="shared" ref="CL74" si="98">SUM(CL5:CL73)</f>
        <v>39</v>
      </c>
      <c r="CM74" s="19">
        <f t="shared" ref="CM74" si="99">SUM(CM5:CM73)</f>
        <v>41</v>
      </c>
      <c r="CN74" s="19">
        <f t="shared" ref="CN74" si="100">SUM(CN5:CN73)</f>
        <v>299000</v>
      </c>
      <c r="CO74" s="19">
        <f t="shared" ref="CO74" si="101">SUM(CO5:CO73)</f>
        <v>364333</v>
      </c>
      <c r="CP74" s="22">
        <f>CQ74/CN74</f>
        <v>0.51822450836120404</v>
      </c>
      <c r="CQ74" s="19">
        <f t="shared" ref="CQ74" si="102">SUM(CQ5:CQ73)</f>
        <v>154949.128</v>
      </c>
      <c r="CR74" s="22">
        <f>CS74/CO74</f>
        <v>0.58055213225263702</v>
      </c>
      <c r="CS74" s="19">
        <f t="shared" ref="CS74" si="103">SUM(CS5:CS73)</f>
        <v>211514.3</v>
      </c>
      <c r="CT74" s="19">
        <f t="shared" ref="CT74" si="104">SUM(CT5:CT73)</f>
        <v>38</v>
      </c>
      <c r="CU74" s="19">
        <f t="shared" ref="CU74" si="105">SUM(CU5:CU73)</f>
        <v>40</v>
      </c>
      <c r="CV74" s="19">
        <f t="shared" ref="CV74" si="106">SUM(CV5:CV73)</f>
        <v>242004</v>
      </c>
      <c r="CW74" s="19">
        <f t="shared" ref="CW74" si="107">SUM(CW5:CW73)</f>
        <v>307337</v>
      </c>
      <c r="CX74" s="22">
        <f>CY74/CV74</f>
        <v>0.53682388720847585</v>
      </c>
      <c r="CY74" s="19">
        <f t="shared" ref="CY74" si="108">SUM(CY5:CY73)</f>
        <v>129913.52799999999</v>
      </c>
      <c r="CZ74" s="22">
        <f>DA74/CW74</f>
        <v>0.61649069262731138</v>
      </c>
      <c r="DA74" s="19">
        <f t="shared" ref="DA74" si="109">SUM(DA5:DA73)</f>
        <v>189470.4</v>
      </c>
      <c r="DB74" s="19">
        <f t="shared" ref="DB74" si="110">SUM(DB5:DB73)</f>
        <v>38</v>
      </c>
      <c r="DC74" s="19">
        <f t="shared" ref="DC74" si="111">SUM(DC5:DC73)</f>
        <v>38</v>
      </c>
      <c r="DD74" s="19">
        <f t="shared" ref="DD74" si="112">SUM(DD5:DD73)</f>
        <v>3539654</v>
      </c>
      <c r="DE74" s="19">
        <f t="shared" ref="DE74" si="113">SUM(DE5:DE73)</f>
        <v>1152841.3130000001</v>
      </c>
      <c r="DF74" s="22">
        <f t="shared" si="27"/>
        <v>0.3256932211453436</v>
      </c>
      <c r="DG74" s="19">
        <f t="shared" ref="DG74" si="114">SUM(DG5:DG73)</f>
        <v>4050100</v>
      </c>
      <c r="DH74" s="19">
        <f t="shared" ref="DH74" si="115">SUM(DH5:DH73)</f>
        <v>1717032.7</v>
      </c>
      <c r="DI74" s="22">
        <f t="shared" si="30"/>
        <v>0.42394822350065431</v>
      </c>
      <c r="DJ74" s="19">
        <f t="shared" ref="DJ74" si="116">SUM(DJ5:DJ73)</f>
        <v>459</v>
      </c>
      <c r="DK74" s="19">
        <f t="shared" ref="DK74" si="117">SUM(DK5:DK73)</f>
        <v>478</v>
      </c>
      <c r="DL74" s="40"/>
      <c r="DM74" s="19">
        <f t="shared" ref="DM74" si="118">SUM(DM5:DM73)</f>
        <v>17792000</v>
      </c>
      <c r="DN74" s="19">
        <f t="shared" ref="DN74" si="119">SUM(DN5:DN73)</f>
        <v>650000</v>
      </c>
      <c r="DO74" s="19">
        <f t="shared" ref="DO74" si="120">SUM(DO5:DO73)</f>
        <v>7535000</v>
      </c>
      <c r="DP74" s="41">
        <f t="shared" si="33"/>
        <v>0.19894638039568346</v>
      </c>
      <c r="DQ74" s="19">
        <f t="shared" ref="DQ74" si="121">SUM(DQ5:DQ73)</f>
        <v>247000</v>
      </c>
    </row>
    <row r="75" spans="1:121">
      <c r="A75" s="42"/>
      <c r="B75" s="42"/>
      <c r="C75" s="42"/>
      <c r="D75" s="42"/>
      <c r="E75" s="42"/>
      <c r="F75" s="42"/>
      <c r="G75" s="42"/>
      <c r="H75" s="42"/>
      <c r="I75" s="42"/>
      <c r="J75" s="42"/>
      <c r="K75" s="42"/>
      <c r="L75" s="36"/>
      <c r="M75" s="36"/>
      <c r="O75" s="36"/>
      <c r="Q75" s="37"/>
    </row>
    <row r="76" spans="1:121">
      <c r="O76" s="37"/>
      <c r="DD76" s="38"/>
      <c r="DM76" s="38"/>
      <c r="DN76" s="38"/>
      <c r="DO76" s="38"/>
      <c r="DP76" s="37"/>
    </row>
  </sheetData>
  <mergeCells count="1">
    <mergeCell ref="A75:K75"/>
  </mergeCells>
  <pageMargins left="0" right="0" top="0" bottom="0" header="0.3" footer="0.3"/>
  <pageSetup scale="50" orientation="landscape" horizontalDpi="0" verticalDpi="0" r:id="rId1"/>
  <ignoredErrors>
    <ignoredError sqref="N74 V74 AD74 AL74 AT74 BB74 BJ74 BR74 BZ74 CH74 CP74 CX74 AV74 BL74 BT74 CJ74 CR74 CB74 BD74" formula="1"/>
  </ignoredErrors>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480B-6C54-4E9B-B196-7C2F227501D0}">
  <dimension ref="A5:CM12"/>
  <sheetViews>
    <sheetView topLeftCell="A4" workbookViewId="0">
      <selection activeCell="C10" sqref="C10"/>
    </sheetView>
  </sheetViews>
  <sheetFormatPr defaultRowHeight="14.45"/>
  <cols>
    <col min="1" max="1" width="26.7109375" customWidth="1"/>
    <col min="2" max="2" width="18" customWidth="1"/>
    <col min="3" max="3" width="21.42578125" customWidth="1"/>
    <col min="4" max="5" width="13.140625" bestFit="1" customWidth="1"/>
    <col min="6" max="6" width="14.85546875" bestFit="1" customWidth="1"/>
    <col min="7" max="8" width="15.7109375" customWidth="1"/>
    <col min="9" max="9" width="16" bestFit="1" customWidth="1"/>
    <col min="10" max="10" width="14.28515625" bestFit="1" customWidth="1"/>
    <col min="11" max="11" width="8.5703125" bestFit="1" customWidth="1"/>
    <col min="12" max="12" width="13.5703125" bestFit="1" customWidth="1"/>
    <col min="13" max="13" width="9.28515625" bestFit="1" customWidth="1"/>
    <col min="14" max="14" width="13.85546875" bestFit="1" customWidth="1"/>
    <col min="15" max="15" width="16.28515625" bestFit="1" customWidth="1"/>
    <col min="16" max="16" width="14.5703125" bestFit="1" customWidth="1"/>
    <col min="17" max="17" width="8.5703125" bestFit="1" customWidth="1"/>
    <col min="18" max="18" width="13.7109375" bestFit="1" customWidth="1"/>
    <col min="19" max="19" width="9.28515625" bestFit="1" customWidth="1"/>
    <col min="20" max="20" width="14.140625" bestFit="1" customWidth="1"/>
    <col min="21" max="21" width="16.7109375" bestFit="1" customWidth="1"/>
    <col min="22" max="22" width="15" bestFit="1" customWidth="1"/>
    <col min="23" max="23" width="8.5703125" bestFit="1" customWidth="1"/>
    <col min="24" max="24" width="14.28515625" bestFit="1" customWidth="1"/>
    <col min="25" max="25" width="9.28515625" bestFit="1" customWidth="1"/>
    <col min="26" max="26" width="14.5703125" bestFit="1" customWidth="1"/>
    <col min="27" max="27" width="16.28515625" bestFit="1" customWidth="1"/>
    <col min="28" max="28" width="14.5703125" bestFit="1" customWidth="1"/>
    <col min="29" max="29" width="8.7109375" bestFit="1" customWidth="1"/>
    <col min="30" max="30" width="14.5703125" bestFit="1" customWidth="1"/>
    <col min="31" max="31" width="9.28515625" bestFit="1" customWidth="1"/>
    <col min="32" max="32" width="14.140625" bestFit="1" customWidth="1"/>
    <col min="33" max="33" width="17" bestFit="1" customWidth="1"/>
    <col min="34" max="34" width="15.28515625" bestFit="1" customWidth="1"/>
    <col min="35" max="35" width="8.7109375" bestFit="1" customWidth="1"/>
    <col min="36" max="36" width="14.5703125" bestFit="1" customWidth="1"/>
    <col min="37" max="37" width="9.28515625" bestFit="1" customWidth="1"/>
    <col min="38" max="38" width="14.85546875" bestFit="1" customWidth="1"/>
    <col min="39" max="39" width="17.28515625" bestFit="1" customWidth="1"/>
    <col min="40" max="40" width="15.42578125" bestFit="1" customWidth="1"/>
    <col min="41" max="41" width="8.7109375" bestFit="1" customWidth="1"/>
    <col min="42" max="42" width="14.7109375" bestFit="1" customWidth="1"/>
    <col min="43" max="43" width="9.28515625" bestFit="1" customWidth="1"/>
    <col min="44" max="44" width="15" bestFit="1" customWidth="1"/>
    <col min="45" max="45" width="16.42578125" bestFit="1" customWidth="1"/>
    <col min="46" max="46" width="14.7109375" bestFit="1" customWidth="1"/>
    <col min="47" max="47" width="8.5703125" bestFit="1" customWidth="1"/>
    <col min="48" max="48" width="14" bestFit="1" customWidth="1"/>
    <col min="49" max="49" width="9.28515625" bestFit="1" customWidth="1"/>
    <col min="50" max="50" width="14.28515625" bestFit="1" customWidth="1"/>
    <col min="51" max="51" width="16.5703125" bestFit="1" customWidth="1"/>
    <col min="52" max="52" width="14.85546875" bestFit="1" customWidth="1"/>
    <col min="53" max="53" width="8.5703125" bestFit="1" customWidth="1"/>
    <col min="54" max="54" width="14.140625" bestFit="1" customWidth="1"/>
    <col min="55" max="55" width="9.28515625" bestFit="1" customWidth="1"/>
    <col min="56" max="56" width="14.42578125" bestFit="1" customWidth="1"/>
    <col min="57" max="57" width="17" bestFit="1" customWidth="1"/>
    <col min="58" max="58" width="15.28515625" bestFit="1" customWidth="1"/>
    <col min="59" max="59" width="8.7109375" bestFit="1" customWidth="1"/>
    <col min="60" max="60" width="14.5703125" bestFit="1" customWidth="1"/>
    <col min="61" max="61" width="9.28515625" bestFit="1" customWidth="1"/>
    <col min="62" max="62" width="14.85546875" bestFit="1" customWidth="1"/>
    <col min="63" max="63" width="16.140625" bestFit="1" customWidth="1"/>
    <col min="64" max="64" width="14.42578125" bestFit="1" customWidth="1"/>
    <col min="65" max="65" width="8.5703125" bestFit="1" customWidth="1"/>
    <col min="66" max="66" width="13.7109375" bestFit="1" customWidth="1"/>
    <col min="67" max="67" width="9.28515625" bestFit="1" customWidth="1"/>
    <col min="68" max="68" width="14" bestFit="1" customWidth="1"/>
    <col min="69" max="69" width="16.7109375" bestFit="1" customWidth="1"/>
    <col min="70" max="70" width="15" bestFit="1" customWidth="1"/>
    <col min="71" max="71" width="8.5703125" bestFit="1" customWidth="1"/>
    <col min="72" max="72" width="14.28515625" bestFit="1" customWidth="1"/>
    <col min="73" max="73" width="9.28515625" bestFit="1" customWidth="1"/>
    <col min="74" max="74" width="14.5703125" bestFit="1" customWidth="1"/>
    <col min="75" max="75" width="16.28515625" bestFit="1" customWidth="1"/>
    <col min="76" max="76" width="14.7109375" bestFit="1" customWidth="1"/>
    <col min="77" max="77" width="8.5703125" bestFit="1" customWidth="1"/>
    <col min="78" max="78" width="13.85546875" bestFit="1" customWidth="1"/>
    <col min="79" max="79" width="9.28515625" bestFit="1" customWidth="1"/>
    <col min="80" max="80" width="14.28515625" bestFit="1" customWidth="1"/>
    <col min="81" max="81" width="17.5703125" bestFit="1" customWidth="1"/>
    <col min="82" max="82" width="15.7109375" bestFit="1" customWidth="1"/>
    <col min="83" max="83" width="17.28515625" customWidth="1"/>
    <col min="84" max="84" width="15.28515625" bestFit="1" customWidth="1"/>
    <col min="87" max="88" width="12.140625" customWidth="1"/>
    <col min="89" max="89" width="11.5703125" customWidth="1"/>
  </cols>
  <sheetData>
    <row r="5" spans="1:91">
      <c r="B5" s="13" t="s">
        <v>0</v>
      </c>
      <c r="C5">
        <v>2024</v>
      </c>
    </row>
    <row r="8" spans="1:91">
      <c r="AD8" t="s">
        <v>169</v>
      </c>
    </row>
    <row r="9" spans="1:91" s="3" customFormat="1" ht="72.599999999999994" thickBot="1">
      <c r="A9" s="8" t="s">
        <v>170</v>
      </c>
      <c r="B9" s="2" t="s">
        <v>171</v>
      </c>
      <c r="C9" s="2" t="s">
        <v>171</v>
      </c>
      <c r="D9" s="2" t="s">
        <v>172</v>
      </c>
      <c r="E9" s="2" t="s">
        <v>172</v>
      </c>
      <c r="F9" s="2" t="s">
        <v>172</v>
      </c>
      <c r="G9" s="2" t="s">
        <v>172</v>
      </c>
      <c r="H9" s="2" t="s">
        <v>172</v>
      </c>
      <c r="I9" s="2" t="s">
        <v>172</v>
      </c>
      <c r="J9" s="2" t="s">
        <v>172</v>
      </c>
      <c r="K9" s="2" t="s">
        <v>173</v>
      </c>
      <c r="L9" s="2" t="s">
        <v>173</v>
      </c>
      <c r="M9" s="2" t="s">
        <v>174</v>
      </c>
      <c r="N9" s="2" t="s">
        <v>174</v>
      </c>
      <c r="O9" s="2" t="s">
        <v>172</v>
      </c>
      <c r="P9" s="2" t="s">
        <v>172</v>
      </c>
      <c r="Q9" s="2" t="s">
        <v>173</v>
      </c>
      <c r="R9" s="2" t="s">
        <v>173</v>
      </c>
      <c r="S9" s="2" t="s">
        <v>174</v>
      </c>
      <c r="T9" s="2" t="s">
        <v>174</v>
      </c>
      <c r="U9" s="2" t="s">
        <v>172</v>
      </c>
      <c r="V9" s="2" t="s">
        <v>172</v>
      </c>
      <c r="W9" s="2" t="s">
        <v>173</v>
      </c>
      <c r="X9" s="2" t="s">
        <v>173</v>
      </c>
      <c r="Y9" s="2" t="s">
        <v>174</v>
      </c>
      <c r="Z9" s="2" t="s">
        <v>174</v>
      </c>
      <c r="AA9" s="2" t="s">
        <v>172</v>
      </c>
      <c r="AB9" s="2" t="s">
        <v>172</v>
      </c>
      <c r="AC9" s="2" t="s">
        <v>173</v>
      </c>
      <c r="AD9" s="2" t="s">
        <v>173</v>
      </c>
      <c r="AE9" s="2" t="s">
        <v>174</v>
      </c>
      <c r="AF9" s="2" t="s">
        <v>174</v>
      </c>
      <c r="AG9" s="2" t="s">
        <v>172</v>
      </c>
      <c r="AH9" s="2" t="s">
        <v>172</v>
      </c>
      <c r="AI9" s="2" t="s">
        <v>173</v>
      </c>
      <c r="AJ9" s="2" t="s">
        <v>173</v>
      </c>
      <c r="AK9" s="2" t="s">
        <v>174</v>
      </c>
      <c r="AL9" s="2" t="s">
        <v>174</v>
      </c>
      <c r="AM9" s="2" t="s">
        <v>172</v>
      </c>
      <c r="AN9" s="2" t="s">
        <v>172</v>
      </c>
      <c r="AO9" s="2" t="s">
        <v>173</v>
      </c>
      <c r="AP9" s="2" t="s">
        <v>173</v>
      </c>
      <c r="AQ9" s="2" t="s">
        <v>174</v>
      </c>
      <c r="AR9" s="2" t="s">
        <v>174</v>
      </c>
      <c r="AS9" s="2" t="s">
        <v>172</v>
      </c>
      <c r="AT9" s="2" t="s">
        <v>172</v>
      </c>
      <c r="AU9" s="2" t="s">
        <v>173</v>
      </c>
      <c r="AV9" s="2" t="s">
        <v>173</v>
      </c>
      <c r="AW9" s="2" t="s">
        <v>174</v>
      </c>
      <c r="AX9" s="2" t="s">
        <v>174</v>
      </c>
      <c r="AY9" s="2" t="s">
        <v>172</v>
      </c>
      <c r="AZ9" s="2" t="s">
        <v>172</v>
      </c>
      <c r="BA9" s="2" t="s">
        <v>173</v>
      </c>
      <c r="BB9" s="2" t="s">
        <v>173</v>
      </c>
      <c r="BC9" s="2" t="s">
        <v>174</v>
      </c>
      <c r="BD9" s="2" t="s">
        <v>174</v>
      </c>
      <c r="BE9" s="2" t="s">
        <v>172</v>
      </c>
      <c r="BF9" s="2" t="s">
        <v>172</v>
      </c>
      <c r="BG9" s="2" t="s">
        <v>173</v>
      </c>
      <c r="BH9" s="2" t="s">
        <v>173</v>
      </c>
      <c r="BI9" s="2" t="s">
        <v>174</v>
      </c>
      <c r="BJ9" s="2" t="s">
        <v>174</v>
      </c>
      <c r="BK9" s="2" t="s">
        <v>172</v>
      </c>
      <c r="BL9" s="2" t="s">
        <v>172</v>
      </c>
      <c r="BM9" s="2" t="s">
        <v>173</v>
      </c>
      <c r="BN9" s="2" t="s">
        <v>173</v>
      </c>
      <c r="BO9" s="2" t="s">
        <v>174</v>
      </c>
      <c r="BP9" s="2" t="s">
        <v>174</v>
      </c>
      <c r="BQ9" s="2" t="s">
        <v>172</v>
      </c>
      <c r="BR9" s="2" t="s">
        <v>172</v>
      </c>
      <c r="BS9" s="2" t="s">
        <v>173</v>
      </c>
      <c r="BT9" s="2" t="s">
        <v>173</v>
      </c>
      <c r="BU9" s="2" t="s">
        <v>174</v>
      </c>
      <c r="BV9" s="2" t="s">
        <v>174</v>
      </c>
      <c r="BW9" s="2" t="s">
        <v>172</v>
      </c>
      <c r="BX9" s="2" t="s">
        <v>172</v>
      </c>
      <c r="BY9" s="2" t="s">
        <v>173</v>
      </c>
      <c r="BZ9" s="2" t="s">
        <v>173</v>
      </c>
      <c r="CA9" s="2" t="s">
        <v>174</v>
      </c>
      <c r="CB9" s="2" t="s">
        <v>174</v>
      </c>
      <c r="CC9" s="2" t="s">
        <v>172</v>
      </c>
      <c r="CD9" s="2" t="s">
        <v>172</v>
      </c>
      <c r="CE9" s="2" t="s">
        <v>174</v>
      </c>
      <c r="CF9" s="2" t="s">
        <v>174</v>
      </c>
      <c r="CG9" s="2" t="s">
        <v>175</v>
      </c>
      <c r="CH9" s="2" t="s">
        <v>172</v>
      </c>
      <c r="CI9" s="2" t="s">
        <v>172</v>
      </c>
      <c r="CJ9" s="2" t="s">
        <v>172</v>
      </c>
      <c r="CK9" s="2" t="s">
        <v>176</v>
      </c>
      <c r="CL9" s="2" t="s">
        <v>172</v>
      </c>
      <c r="CM9" s="2" t="s">
        <v>175</v>
      </c>
    </row>
    <row r="10" spans="1:91" s="15" customFormat="1" ht="144.6" thickBot="1">
      <c r="A10" s="9" t="s">
        <v>177</v>
      </c>
      <c r="B10" s="14" t="s">
        <v>1</v>
      </c>
      <c r="C10" s="4" t="s">
        <v>2</v>
      </c>
      <c r="D10" s="4" t="s">
        <v>7</v>
      </c>
      <c r="E10" s="4" t="s">
        <v>8</v>
      </c>
      <c r="F10" s="4" t="s">
        <v>9</v>
      </c>
      <c r="G10" s="4" t="s">
        <v>178</v>
      </c>
      <c r="H10" s="4" t="s">
        <v>11</v>
      </c>
      <c r="I10" s="7" t="s">
        <v>12</v>
      </c>
      <c r="J10" s="7" t="s">
        <v>13</v>
      </c>
      <c r="K10" s="7" t="s">
        <v>14</v>
      </c>
      <c r="L10" s="7" t="s">
        <v>16</v>
      </c>
      <c r="M10" s="7" t="s">
        <v>18</v>
      </c>
      <c r="N10" s="7" t="s">
        <v>19</v>
      </c>
      <c r="O10" s="7" t="s">
        <v>20</v>
      </c>
      <c r="P10" s="7" t="s">
        <v>21</v>
      </c>
      <c r="Q10" s="7" t="s">
        <v>22</v>
      </c>
      <c r="R10" s="7" t="s">
        <v>24</v>
      </c>
      <c r="S10" s="7" t="s">
        <v>26</v>
      </c>
      <c r="T10" s="7" t="s">
        <v>27</v>
      </c>
      <c r="U10" s="7" t="s">
        <v>28</v>
      </c>
      <c r="V10" s="7" t="s">
        <v>29</v>
      </c>
      <c r="W10" s="7" t="s">
        <v>30</v>
      </c>
      <c r="X10" s="7" t="s">
        <v>32</v>
      </c>
      <c r="Y10" s="7" t="s">
        <v>34</v>
      </c>
      <c r="Z10" s="7" t="s">
        <v>35</v>
      </c>
      <c r="AA10" s="7" t="s">
        <v>36</v>
      </c>
      <c r="AB10" s="7" t="s">
        <v>37</v>
      </c>
      <c r="AC10" s="7" t="s">
        <v>38</v>
      </c>
      <c r="AD10" s="7" t="s">
        <v>40</v>
      </c>
      <c r="AE10" s="7" t="s">
        <v>42</v>
      </c>
      <c r="AF10" s="7" t="s">
        <v>43</v>
      </c>
      <c r="AG10" s="7" t="s">
        <v>44</v>
      </c>
      <c r="AH10" s="7" t="s">
        <v>45</v>
      </c>
      <c r="AI10" s="7" t="s">
        <v>46</v>
      </c>
      <c r="AJ10" s="7" t="s">
        <v>48</v>
      </c>
      <c r="AK10" s="7" t="s">
        <v>50</v>
      </c>
      <c r="AL10" s="7" t="s">
        <v>51</v>
      </c>
      <c r="AM10" s="7" t="s">
        <v>52</v>
      </c>
      <c r="AN10" s="7" t="s">
        <v>53</v>
      </c>
      <c r="AO10" s="7" t="s">
        <v>54</v>
      </c>
      <c r="AP10" s="7" t="s">
        <v>56</v>
      </c>
      <c r="AQ10" s="7" t="s">
        <v>58</v>
      </c>
      <c r="AR10" s="7" t="s">
        <v>59</v>
      </c>
      <c r="AS10" s="7" t="s">
        <v>60</v>
      </c>
      <c r="AT10" s="7" t="s">
        <v>61</v>
      </c>
      <c r="AU10" s="7" t="s">
        <v>62</v>
      </c>
      <c r="AV10" s="7" t="s">
        <v>64</v>
      </c>
      <c r="AW10" s="7" t="s">
        <v>66</v>
      </c>
      <c r="AX10" s="7" t="s">
        <v>67</v>
      </c>
      <c r="AY10" s="7" t="s">
        <v>68</v>
      </c>
      <c r="AZ10" s="7" t="s">
        <v>69</v>
      </c>
      <c r="BA10" s="7" t="s">
        <v>70</v>
      </c>
      <c r="BB10" s="7" t="s">
        <v>72</v>
      </c>
      <c r="BC10" s="7" t="s">
        <v>74</v>
      </c>
      <c r="BD10" s="7" t="s">
        <v>75</v>
      </c>
      <c r="BE10" s="7" t="s">
        <v>76</v>
      </c>
      <c r="BF10" s="7" t="s">
        <v>77</v>
      </c>
      <c r="BG10" s="7" t="s">
        <v>78</v>
      </c>
      <c r="BH10" s="7" t="s">
        <v>80</v>
      </c>
      <c r="BI10" s="7" t="s">
        <v>82</v>
      </c>
      <c r="BJ10" s="7" t="s">
        <v>83</v>
      </c>
      <c r="BK10" s="7" t="s">
        <v>84</v>
      </c>
      <c r="BL10" s="7" t="s">
        <v>85</v>
      </c>
      <c r="BM10" s="7" t="s">
        <v>86</v>
      </c>
      <c r="BN10" s="7" t="s">
        <v>88</v>
      </c>
      <c r="BO10" s="7" t="s">
        <v>90</v>
      </c>
      <c r="BP10" s="7" t="s">
        <v>91</v>
      </c>
      <c r="BQ10" s="7" t="s">
        <v>92</v>
      </c>
      <c r="BR10" s="7" t="s">
        <v>93</v>
      </c>
      <c r="BS10" s="7" t="s">
        <v>94</v>
      </c>
      <c r="BT10" s="7" t="s">
        <v>96</v>
      </c>
      <c r="BU10" s="7" t="s">
        <v>98</v>
      </c>
      <c r="BV10" s="7" t="s">
        <v>99</v>
      </c>
      <c r="BW10" s="7" t="s">
        <v>100</v>
      </c>
      <c r="BX10" s="7" t="s">
        <v>101</v>
      </c>
      <c r="BY10" s="7" t="s">
        <v>102</v>
      </c>
      <c r="BZ10" s="7" t="s">
        <v>104</v>
      </c>
      <c r="CA10" s="7" t="s">
        <v>106</v>
      </c>
      <c r="CB10" s="7" t="s">
        <v>107</v>
      </c>
      <c r="CC10" s="4" t="s">
        <v>108</v>
      </c>
      <c r="CD10" s="4" t="s">
        <v>111</v>
      </c>
      <c r="CE10" s="4" t="s">
        <v>114</v>
      </c>
      <c r="CF10" s="4" t="s">
        <v>115</v>
      </c>
      <c r="CG10" s="7" t="s">
        <v>116</v>
      </c>
      <c r="CH10" s="7" t="s">
        <v>117</v>
      </c>
      <c r="CI10" s="7" t="s">
        <v>118</v>
      </c>
      <c r="CJ10" s="7" t="s">
        <v>119</v>
      </c>
      <c r="CK10" s="6" t="s">
        <v>120</v>
      </c>
      <c r="CL10" s="7" t="s">
        <v>121</v>
      </c>
      <c r="CM10" s="12" t="s">
        <v>179</v>
      </c>
    </row>
    <row r="11" spans="1:91" ht="72">
      <c r="A11" s="5" t="s">
        <v>180</v>
      </c>
      <c r="B11" s="10"/>
      <c r="C11" s="10"/>
      <c r="D11" s="10"/>
      <c r="E11" s="10"/>
      <c r="F11" s="10"/>
      <c r="G11" s="5"/>
      <c r="H11" s="5"/>
      <c r="I11" s="10">
        <v>1</v>
      </c>
      <c r="J11" s="10">
        <v>2</v>
      </c>
      <c r="K11" s="10"/>
      <c r="L11" s="10"/>
      <c r="M11" s="10">
        <v>4</v>
      </c>
      <c r="N11" s="10">
        <v>3</v>
      </c>
      <c r="O11" s="10">
        <v>1</v>
      </c>
      <c r="P11" s="10">
        <v>2</v>
      </c>
      <c r="Q11" s="10"/>
      <c r="R11" s="10"/>
      <c r="S11" s="10">
        <v>4</v>
      </c>
      <c r="T11" s="10">
        <v>3</v>
      </c>
      <c r="U11" s="10">
        <v>1</v>
      </c>
      <c r="V11" s="10">
        <v>2</v>
      </c>
      <c r="W11" s="10"/>
      <c r="X11" s="10"/>
      <c r="Y11" s="10">
        <v>4</v>
      </c>
      <c r="Z11" s="10">
        <v>3</v>
      </c>
      <c r="AA11" s="10">
        <v>1</v>
      </c>
      <c r="AB11" s="10">
        <v>2</v>
      </c>
      <c r="AC11" s="10"/>
      <c r="AD11" s="10"/>
      <c r="AE11" s="10">
        <v>4</v>
      </c>
      <c r="AF11" s="10">
        <v>3</v>
      </c>
      <c r="AG11" s="10">
        <v>1</v>
      </c>
      <c r="AH11" s="10">
        <v>2</v>
      </c>
      <c r="AI11" s="10"/>
      <c r="AJ11" s="10"/>
      <c r="AK11" s="10">
        <v>4</v>
      </c>
      <c r="AL11" s="10">
        <v>3</v>
      </c>
      <c r="AM11" s="10">
        <v>1</v>
      </c>
      <c r="AN11" s="10">
        <v>2</v>
      </c>
      <c r="AO11" s="10"/>
      <c r="AP11" s="10"/>
      <c r="AQ11" s="10">
        <v>4</v>
      </c>
      <c r="AR11" s="10">
        <v>3</v>
      </c>
      <c r="AS11" s="10">
        <v>1</v>
      </c>
      <c r="AT11" s="10">
        <v>2</v>
      </c>
      <c r="AU11" s="10"/>
      <c r="AV11" s="10"/>
      <c r="AW11" s="10"/>
      <c r="AX11" s="10">
        <v>4</v>
      </c>
      <c r="AY11" s="10">
        <v>1</v>
      </c>
      <c r="AZ11" s="10">
        <v>2</v>
      </c>
      <c r="BA11" s="10"/>
      <c r="BB11" s="10"/>
      <c r="BC11" s="10">
        <v>4</v>
      </c>
      <c r="BD11" s="10">
        <v>3</v>
      </c>
      <c r="BE11" s="10">
        <v>1</v>
      </c>
      <c r="BF11" s="10">
        <v>2</v>
      </c>
      <c r="BG11" s="10"/>
      <c r="BH11" s="10"/>
      <c r="BI11" s="10">
        <v>4</v>
      </c>
      <c r="BJ11" s="10">
        <v>3</v>
      </c>
      <c r="BK11" s="10">
        <v>1</v>
      </c>
      <c r="BL11" s="10">
        <v>2</v>
      </c>
      <c r="BM11" s="10"/>
      <c r="BN11" s="10"/>
      <c r="BO11" s="10">
        <v>4</v>
      </c>
      <c r="BP11" s="10">
        <v>3</v>
      </c>
      <c r="BQ11" s="10">
        <v>1</v>
      </c>
      <c r="BR11" s="10">
        <v>2</v>
      </c>
      <c r="BS11" s="10"/>
      <c r="BT11" s="10"/>
      <c r="BU11" s="10">
        <v>4</v>
      </c>
      <c r="BV11" s="10">
        <v>3</v>
      </c>
      <c r="BW11" s="10">
        <v>1</v>
      </c>
      <c r="BX11" s="10">
        <v>2</v>
      </c>
      <c r="BY11" s="10"/>
      <c r="BZ11" s="10"/>
      <c r="CA11" s="10"/>
      <c r="CB11" s="10">
        <v>3</v>
      </c>
      <c r="CC11" s="10">
        <f>SUM(I11,O11,U11,AA11,AG11,AM11,AS11,AY11,BE11,BK11,BQ11,BW11)</f>
        <v>12</v>
      </c>
      <c r="CD11" s="10">
        <f>SUM(J11,P11,V11,AB11,AH11,AN11,AT11,AZ11,BF11,BL11,BR11,BX11)</f>
        <v>24</v>
      </c>
      <c r="CE11" s="10">
        <f>SUM(M11,S11,Y11,AE11,AK11,AQ11,AW11,BC11,BI11,BO11,BU11,CA11)</f>
        <v>40</v>
      </c>
      <c r="CF11" s="10">
        <f>SUM(N11,T11,Z11,AF11,AL11,AR11,AX11,BD11,BJ11,BP11,BV11,CB11)</f>
        <v>37</v>
      </c>
      <c r="CG11" s="10"/>
      <c r="CH11" s="10">
        <v>88</v>
      </c>
      <c r="CI11" s="5"/>
      <c r="CJ11" s="5"/>
      <c r="CK11" s="11">
        <f>CC11/CH11</f>
        <v>0.13636363636363635</v>
      </c>
      <c r="CL11" s="5"/>
      <c r="CM11" s="5"/>
    </row>
    <row r="12" spans="1:91">
      <c r="D12" s="1"/>
      <c r="E12" s="1"/>
      <c r="F12" s="1"/>
      <c r="G12"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Chuck Kitchen 952-412-9068</dc:creator>
  <cp:keywords/>
  <dc:description/>
  <cp:lastModifiedBy>Guest User</cp:lastModifiedBy>
  <cp:revision/>
  <dcterms:created xsi:type="dcterms:W3CDTF">2023-12-18T20:17:49Z</dcterms:created>
  <dcterms:modified xsi:type="dcterms:W3CDTF">2025-08-29T11:50:42Z</dcterms:modified>
  <cp:category/>
  <cp:contentStatus/>
</cp:coreProperties>
</file>