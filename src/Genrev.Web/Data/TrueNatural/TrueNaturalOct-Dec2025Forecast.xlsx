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etorg4135197-my.sharepoint.com/personal/chuck_businessbetterments_com/Documents/Business Betterments/Customers/True Natural/"/>
    </mc:Choice>
  </mc:AlternateContent>
  <xr:revisionPtr revIDLastSave="69" documentId="8_{FDF210A2-AA01-4CE6-88F9-5B49BB17DBF5}" xr6:coauthVersionLast="47" xr6:coauthVersionMax="47" xr10:uidLastSave="{3A0CC6F2-69DB-416D-946C-0D9FE806234D}"/>
  <bookViews>
    <workbookView xWindow="-108" yWindow="-108" windowWidth="23256" windowHeight="12576" tabRatio="602" xr2:uid="{B1BFFD86-2CAD-490D-AE4B-59904C1EFD26}"/>
  </bookViews>
  <sheets>
    <sheet name="Annual Sales Forecast Worksheet" sheetId="2" r:id="rId1"/>
  </sheets>
  <definedNames>
    <definedName name="_xlnm._FilterDatabase" localSheetId="0" hidden="1">'Annual Sales Forecast Worksheet'!$A$4:$DR$60</definedName>
    <definedName name="DMp">'Annual Sales Forecast Worksheet'!$DP$9:$DP$9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D6" i="2" l="1"/>
  <c r="DD7" i="2"/>
  <c r="DD8" i="2"/>
  <c r="DD9" i="2"/>
  <c r="DD10" i="2"/>
  <c r="DP10" i="2" s="1"/>
  <c r="DD11" i="2"/>
  <c r="DD12" i="2"/>
  <c r="DD13" i="2"/>
  <c r="DP13" i="2" s="1"/>
  <c r="DD14" i="2"/>
  <c r="DD15" i="2"/>
  <c r="DD16" i="2"/>
  <c r="DD17" i="2"/>
  <c r="DD18" i="2"/>
  <c r="DP18" i="2" s="1"/>
  <c r="DD19" i="2"/>
  <c r="DD20" i="2"/>
  <c r="DD21" i="2"/>
  <c r="DD22" i="2"/>
  <c r="DD23" i="2"/>
  <c r="DD24" i="2"/>
  <c r="DD25" i="2"/>
  <c r="DD26" i="2"/>
  <c r="DD27" i="2"/>
  <c r="DD28" i="2"/>
  <c r="DP28" i="2" s="1"/>
  <c r="DD29" i="2"/>
  <c r="DP29" i="2" s="1"/>
  <c r="DD30" i="2"/>
  <c r="DD31" i="2"/>
  <c r="DD32" i="2"/>
  <c r="DD33" i="2"/>
  <c r="DD34" i="2"/>
  <c r="DP34" i="2" s="1"/>
  <c r="DD35" i="2"/>
  <c r="DD36" i="2"/>
  <c r="DP36" i="2" s="1"/>
  <c r="DD37" i="2"/>
  <c r="DP37" i="2" s="1"/>
  <c r="DD38" i="2"/>
  <c r="DD39" i="2"/>
  <c r="DD40" i="2"/>
  <c r="DD41" i="2"/>
  <c r="DD42" i="2"/>
  <c r="DP42" i="2" s="1"/>
  <c r="DD43" i="2"/>
  <c r="DD44" i="2"/>
  <c r="DP44" i="2" s="1"/>
  <c r="DD45" i="2"/>
  <c r="DP45" i="2" s="1"/>
  <c r="DD46" i="2"/>
  <c r="DD47" i="2"/>
  <c r="DD48" i="2"/>
  <c r="DD49" i="2"/>
  <c r="DD50" i="2"/>
  <c r="DP50" i="2" s="1"/>
  <c r="DD51" i="2"/>
  <c r="DD52" i="2"/>
  <c r="DP52" i="2" s="1"/>
  <c r="DD53" i="2"/>
  <c r="DP53" i="2" s="1"/>
  <c r="DD54" i="2"/>
  <c r="DD55" i="2"/>
  <c r="DD56" i="2"/>
  <c r="DD57" i="2"/>
  <c r="DD58" i="2"/>
  <c r="DP58" i="2" s="1"/>
  <c r="DD59" i="2"/>
  <c r="DD60" i="2"/>
  <c r="DP38" i="2"/>
  <c r="DP35" i="2"/>
  <c r="DP27" i="2"/>
  <c r="DP19" i="2"/>
  <c r="DP11" i="2"/>
  <c r="DP6" i="2"/>
  <c r="DE6" i="2"/>
  <c r="DF6" i="2" s="1"/>
  <c r="DG6" i="2"/>
  <c r="DH6" i="2"/>
  <c r="DI6" i="2"/>
  <c r="DJ6" i="2"/>
  <c r="DK6" i="2"/>
  <c r="DE7" i="2"/>
  <c r="DF7" i="2" s="1"/>
  <c r="DG7" i="2"/>
  <c r="DH7" i="2"/>
  <c r="DI7" i="2"/>
  <c r="DJ7" i="2"/>
  <c r="DK7" i="2"/>
  <c r="DE8" i="2"/>
  <c r="DF8" i="2" s="1"/>
  <c r="DG8" i="2"/>
  <c r="DH8" i="2"/>
  <c r="DI8" i="2"/>
  <c r="DJ8" i="2"/>
  <c r="DK8" i="2"/>
  <c r="DE9" i="2"/>
  <c r="DF9" i="2" s="1"/>
  <c r="DG9" i="2"/>
  <c r="DH9" i="2"/>
  <c r="DI9" i="2"/>
  <c r="DJ9" i="2"/>
  <c r="DK9" i="2"/>
  <c r="DE10" i="2"/>
  <c r="DG10" i="2"/>
  <c r="DH10" i="2"/>
  <c r="DI10" i="2"/>
  <c r="DJ10" i="2"/>
  <c r="DK10" i="2"/>
  <c r="DE11" i="2"/>
  <c r="DF11" i="2" s="1"/>
  <c r="DG11" i="2"/>
  <c r="DH11" i="2"/>
  <c r="DI11" i="2"/>
  <c r="DJ11" i="2"/>
  <c r="DK11" i="2"/>
  <c r="DE12" i="2"/>
  <c r="DG12" i="2"/>
  <c r="DH12" i="2"/>
  <c r="DI12" i="2"/>
  <c r="DJ12" i="2"/>
  <c r="DK12" i="2"/>
  <c r="DE13" i="2"/>
  <c r="DF13" i="2" s="1"/>
  <c r="DG13" i="2"/>
  <c r="DH13" i="2"/>
  <c r="DI13" i="2"/>
  <c r="DJ13" i="2"/>
  <c r="DK13" i="2"/>
  <c r="DE14" i="2"/>
  <c r="DF14" i="2" s="1"/>
  <c r="DG14" i="2"/>
  <c r="DH14" i="2"/>
  <c r="DI14" i="2"/>
  <c r="DJ14" i="2"/>
  <c r="DK14" i="2"/>
  <c r="DE15" i="2"/>
  <c r="DF15" i="2" s="1"/>
  <c r="DG15" i="2"/>
  <c r="DH15" i="2"/>
  <c r="DI15" i="2"/>
  <c r="DJ15" i="2"/>
  <c r="DK15" i="2"/>
  <c r="DE16" i="2"/>
  <c r="DF16" i="2" s="1"/>
  <c r="DG16" i="2"/>
  <c r="DH16" i="2"/>
  <c r="DI16" i="2"/>
  <c r="DJ16" i="2"/>
  <c r="DK16" i="2"/>
  <c r="DE17" i="2"/>
  <c r="DF17" i="2" s="1"/>
  <c r="DG17" i="2"/>
  <c r="DH17" i="2"/>
  <c r="DI17" i="2"/>
  <c r="DJ17" i="2"/>
  <c r="DK17" i="2"/>
  <c r="DE18" i="2"/>
  <c r="DG18" i="2"/>
  <c r="DH18" i="2"/>
  <c r="DI18" i="2"/>
  <c r="DJ18" i="2"/>
  <c r="DK18" i="2"/>
  <c r="DE19" i="2"/>
  <c r="DF19" i="2" s="1"/>
  <c r="DG19" i="2"/>
  <c r="DH19" i="2"/>
  <c r="DI19" i="2"/>
  <c r="DJ19" i="2"/>
  <c r="DK19" i="2"/>
  <c r="DE20" i="2"/>
  <c r="DG20" i="2"/>
  <c r="DH20" i="2"/>
  <c r="DI20" i="2"/>
  <c r="DJ20" i="2"/>
  <c r="DK20" i="2"/>
  <c r="DE21" i="2"/>
  <c r="DF21" i="2" s="1"/>
  <c r="DG21" i="2"/>
  <c r="DH21" i="2"/>
  <c r="DI21" i="2"/>
  <c r="DJ21" i="2"/>
  <c r="DK21" i="2"/>
  <c r="DE22" i="2"/>
  <c r="DF22" i="2" s="1"/>
  <c r="DG22" i="2"/>
  <c r="DH22" i="2"/>
  <c r="DI22" i="2"/>
  <c r="DJ22" i="2"/>
  <c r="DK22" i="2"/>
  <c r="DE23" i="2"/>
  <c r="DF23" i="2" s="1"/>
  <c r="DG23" i="2"/>
  <c r="DH23" i="2"/>
  <c r="DI23" i="2"/>
  <c r="DJ23" i="2"/>
  <c r="DK23" i="2"/>
  <c r="DE24" i="2"/>
  <c r="DF24" i="2" s="1"/>
  <c r="DG24" i="2"/>
  <c r="DH24" i="2"/>
  <c r="DI24" i="2"/>
  <c r="DJ24" i="2"/>
  <c r="DK24" i="2"/>
  <c r="DE25" i="2"/>
  <c r="DF25" i="2" s="1"/>
  <c r="DG25" i="2"/>
  <c r="DH25" i="2"/>
  <c r="DI25" i="2"/>
  <c r="DJ25" i="2"/>
  <c r="DK25" i="2"/>
  <c r="DE26" i="2"/>
  <c r="DG26" i="2"/>
  <c r="DH26" i="2"/>
  <c r="DI26" i="2"/>
  <c r="DJ26" i="2"/>
  <c r="DK26" i="2"/>
  <c r="DE27" i="2"/>
  <c r="DF27" i="2" s="1"/>
  <c r="DG27" i="2"/>
  <c r="DH27" i="2"/>
  <c r="DI27" i="2"/>
  <c r="DJ27" i="2"/>
  <c r="DK27" i="2"/>
  <c r="DE28" i="2"/>
  <c r="DG28" i="2"/>
  <c r="DH28" i="2"/>
  <c r="DI28" i="2"/>
  <c r="DJ28" i="2"/>
  <c r="DK28" i="2"/>
  <c r="DE29" i="2"/>
  <c r="DG29" i="2"/>
  <c r="DH29" i="2"/>
  <c r="DI29" i="2"/>
  <c r="DJ29" i="2"/>
  <c r="DK29" i="2"/>
  <c r="DE30" i="2"/>
  <c r="DF30" i="2" s="1"/>
  <c r="DG30" i="2"/>
  <c r="DH30" i="2"/>
  <c r="DI30" i="2"/>
  <c r="DJ30" i="2"/>
  <c r="DK30" i="2"/>
  <c r="DE31" i="2"/>
  <c r="DF31" i="2" s="1"/>
  <c r="DG31" i="2"/>
  <c r="DH31" i="2"/>
  <c r="DI31" i="2"/>
  <c r="DJ31" i="2"/>
  <c r="DK31" i="2"/>
  <c r="DE32" i="2"/>
  <c r="DF32" i="2" s="1"/>
  <c r="DG32" i="2"/>
  <c r="DH32" i="2"/>
  <c r="DI32" i="2"/>
  <c r="DJ32" i="2"/>
  <c r="DK32" i="2"/>
  <c r="DE33" i="2"/>
  <c r="DF33" i="2" s="1"/>
  <c r="DG33" i="2"/>
  <c r="DH33" i="2"/>
  <c r="DI33" i="2"/>
  <c r="DJ33" i="2"/>
  <c r="DK33" i="2"/>
  <c r="DE34" i="2"/>
  <c r="DG34" i="2"/>
  <c r="DH34" i="2"/>
  <c r="DI34" i="2"/>
  <c r="DJ34" i="2"/>
  <c r="DK34" i="2"/>
  <c r="DE35" i="2"/>
  <c r="DF35" i="2" s="1"/>
  <c r="DG35" i="2"/>
  <c r="DH35" i="2"/>
  <c r="DI35" i="2"/>
  <c r="DJ35" i="2"/>
  <c r="DK35" i="2"/>
  <c r="DE36" i="2"/>
  <c r="DG36" i="2"/>
  <c r="DH36" i="2"/>
  <c r="DI36" i="2"/>
  <c r="DJ36" i="2"/>
  <c r="DK36" i="2"/>
  <c r="DE37" i="2"/>
  <c r="DG37" i="2"/>
  <c r="DH37" i="2"/>
  <c r="DI37" i="2"/>
  <c r="DJ37" i="2"/>
  <c r="DK37" i="2"/>
  <c r="DE38" i="2"/>
  <c r="DF38" i="2" s="1"/>
  <c r="DG38" i="2"/>
  <c r="DH38" i="2"/>
  <c r="DI38" i="2"/>
  <c r="DJ38" i="2"/>
  <c r="DK38" i="2"/>
  <c r="DE39" i="2"/>
  <c r="DF39" i="2" s="1"/>
  <c r="DG39" i="2"/>
  <c r="DH39" i="2"/>
  <c r="DI39" i="2"/>
  <c r="DJ39" i="2"/>
  <c r="DK39" i="2"/>
  <c r="DE40" i="2"/>
  <c r="DF40" i="2" s="1"/>
  <c r="DG40" i="2"/>
  <c r="DH40" i="2"/>
  <c r="DI40" i="2"/>
  <c r="DJ40" i="2"/>
  <c r="DK40" i="2"/>
  <c r="DE41" i="2"/>
  <c r="DF41" i="2" s="1"/>
  <c r="DG41" i="2"/>
  <c r="DH41" i="2"/>
  <c r="DI41" i="2"/>
  <c r="DJ41" i="2"/>
  <c r="DK41" i="2"/>
  <c r="DE42" i="2"/>
  <c r="DG42" i="2"/>
  <c r="DH42" i="2"/>
  <c r="DI42" i="2"/>
  <c r="DJ42" i="2"/>
  <c r="DK42" i="2"/>
  <c r="DE43" i="2"/>
  <c r="DF43" i="2" s="1"/>
  <c r="DG43" i="2"/>
  <c r="DH43" i="2"/>
  <c r="DI43" i="2"/>
  <c r="DJ43" i="2"/>
  <c r="DK43" i="2"/>
  <c r="DE44" i="2"/>
  <c r="DG44" i="2"/>
  <c r="DH44" i="2"/>
  <c r="DI44" i="2"/>
  <c r="DJ44" i="2"/>
  <c r="DK44" i="2"/>
  <c r="DE45" i="2"/>
  <c r="DG45" i="2"/>
  <c r="DH45" i="2"/>
  <c r="DI45" i="2"/>
  <c r="DJ45" i="2"/>
  <c r="DK45" i="2"/>
  <c r="DE46" i="2"/>
  <c r="DF46" i="2" s="1"/>
  <c r="DG46" i="2"/>
  <c r="DH46" i="2"/>
  <c r="DI46" i="2"/>
  <c r="DJ46" i="2"/>
  <c r="DK46" i="2"/>
  <c r="DE47" i="2"/>
  <c r="DF47" i="2" s="1"/>
  <c r="DG47" i="2"/>
  <c r="DH47" i="2"/>
  <c r="DI47" i="2"/>
  <c r="DJ47" i="2"/>
  <c r="DK47" i="2"/>
  <c r="DE48" i="2"/>
  <c r="DF48" i="2" s="1"/>
  <c r="DG48" i="2"/>
  <c r="DH48" i="2"/>
  <c r="DI48" i="2"/>
  <c r="DJ48" i="2"/>
  <c r="DK48" i="2"/>
  <c r="DE49" i="2"/>
  <c r="DF49" i="2" s="1"/>
  <c r="DG49" i="2"/>
  <c r="DH49" i="2"/>
  <c r="DI49" i="2"/>
  <c r="DJ49" i="2"/>
  <c r="DK49" i="2"/>
  <c r="DE50" i="2"/>
  <c r="DG50" i="2"/>
  <c r="DH50" i="2"/>
  <c r="DI50" i="2"/>
  <c r="DJ50" i="2"/>
  <c r="DK50" i="2"/>
  <c r="DE51" i="2"/>
  <c r="DF51" i="2" s="1"/>
  <c r="DG51" i="2"/>
  <c r="DH51" i="2"/>
  <c r="DI51" i="2"/>
  <c r="DJ51" i="2"/>
  <c r="DK51" i="2"/>
  <c r="DE52" i="2"/>
  <c r="DG52" i="2"/>
  <c r="DH52" i="2"/>
  <c r="DI52" i="2"/>
  <c r="DJ52" i="2"/>
  <c r="DK52" i="2"/>
  <c r="DE53" i="2"/>
  <c r="DG53" i="2"/>
  <c r="DH53" i="2"/>
  <c r="DI53" i="2"/>
  <c r="DJ53" i="2"/>
  <c r="DK53" i="2"/>
  <c r="DE54" i="2"/>
  <c r="DF54" i="2" s="1"/>
  <c r="DG54" i="2"/>
  <c r="DH54" i="2"/>
  <c r="DI54" i="2"/>
  <c r="DJ54" i="2"/>
  <c r="DK54" i="2"/>
  <c r="DE55" i="2"/>
  <c r="DF55" i="2" s="1"/>
  <c r="DG55" i="2"/>
  <c r="DI55" i="2" s="1"/>
  <c r="DH55" i="2"/>
  <c r="DJ55" i="2"/>
  <c r="DK55" i="2"/>
  <c r="DE56" i="2"/>
  <c r="DF56" i="2" s="1"/>
  <c r="DG56" i="2"/>
  <c r="DI56" i="2" s="1"/>
  <c r="DH56" i="2"/>
  <c r="DJ56" i="2"/>
  <c r="DK56" i="2"/>
  <c r="DE57" i="2"/>
  <c r="DF57" i="2" s="1"/>
  <c r="DG57" i="2"/>
  <c r="DI57" i="2" s="1"/>
  <c r="DH57" i="2"/>
  <c r="DJ57" i="2"/>
  <c r="DK57" i="2"/>
  <c r="DE58" i="2"/>
  <c r="DG58" i="2"/>
  <c r="DI58" i="2" s="1"/>
  <c r="DH58" i="2"/>
  <c r="DJ58" i="2"/>
  <c r="DK58" i="2"/>
  <c r="DE59" i="2"/>
  <c r="DF59" i="2" s="1"/>
  <c r="DG59" i="2"/>
  <c r="DI59" i="2" s="1"/>
  <c r="DH59" i="2"/>
  <c r="DJ59" i="2"/>
  <c r="DK59" i="2"/>
  <c r="DK5" i="2"/>
  <c r="DJ5" i="2"/>
  <c r="DH5" i="2"/>
  <c r="DI5" i="2" s="1"/>
  <c r="DG5" i="2"/>
  <c r="DE5" i="2"/>
  <c r="DF5" i="2" s="1"/>
  <c r="DD5" i="2"/>
  <c r="DP7" i="2"/>
  <c r="DP8" i="2"/>
  <c r="DP9" i="2"/>
  <c r="DP12" i="2"/>
  <c r="DP14" i="2"/>
  <c r="DP15" i="2"/>
  <c r="DP16" i="2"/>
  <c r="DP17" i="2"/>
  <c r="DP20" i="2"/>
  <c r="DP21" i="2"/>
  <c r="DP22" i="2"/>
  <c r="DP23" i="2"/>
  <c r="DP24" i="2"/>
  <c r="DP25" i="2"/>
  <c r="DP26" i="2"/>
  <c r="DP30" i="2"/>
  <c r="DP31" i="2"/>
  <c r="DP32" i="2"/>
  <c r="DP33" i="2"/>
  <c r="DP39" i="2"/>
  <c r="DP40" i="2"/>
  <c r="DP41" i="2"/>
  <c r="DP43" i="2"/>
  <c r="DP46" i="2"/>
  <c r="DP47" i="2"/>
  <c r="DP48" i="2"/>
  <c r="DP49" i="2"/>
  <c r="DP51" i="2"/>
  <c r="DP54" i="2"/>
  <c r="DP55" i="2"/>
  <c r="DP56" i="2"/>
  <c r="DP57" i="2"/>
  <c r="DP59" i="2"/>
  <c r="K6" i="2"/>
  <c r="O6" i="2"/>
  <c r="Q6" i="2"/>
  <c r="W6" i="2"/>
  <c r="Y6" i="2"/>
  <c r="AE6" i="2"/>
  <c r="AG6" i="2"/>
  <c r="AM6" i="2"/>
  <c r="AO6" i="2"/>
  <c r="AU6" i="2"/>
  <c r="AW6" i="2"/>
  <c r="BC6" i="2"/>
  <c r="BE6" i="2"/>
  <c r="BK6" i="2"/>
  <c r="BM6" i="2"/>
  <c r="BS6" i="2"/>
  <c r="BU6" i="2"/>
  <c r="CA6" i="2"/>
  <c r="CC6" i="2"/>
  <c r="CI6" i="2"/>
  <c r="CK6" i="2"/>
  <c r="CQ6" i="2"/>
  <c r="CS6" i="2"/>
  <c r="CY6" i="2"/>
  <c r="DA6" i="2"/>
  <c r="K7" i="2"/>
  <c r="O7" i="2"/>
  <c r="Q7" i="2"/>
  <c r="W7" i="2"/>
  <c r="Y7" i="2"/>
  <c r="AE7" i="2"/>
  <c r="AG7" i="2"/>
  <c r="AM7" i="2"/>
  <c r="AO7" i="2"/>
  <c r="AU7" i="2"/>
  <c r="AW7" i="2"/>
  <c r="BC7" i="2"/>
  <c r="BE7" i="2"/>
  <c r="BK7" i="2"/>
  <c r="BM7" i="2"/>
  <c r="BS7" i="2"/>
  <c r="BU7" i="2"/>
  <c r="CA7" i="2"/>
  <c r="CC7" i="2"/>
  <c r="CI7" i="2"/>
  <c r="CK7" i="2"/>
  <c r="CQ7" i="2"/>
  <c r="CS7" i="2"/>
  <c r="CY7" i="2"/>
  <c r="DA7" i="2"/>
  <c r="K8" i="2"/>
  <c r="O8" i="2"/>
  <c r="Q8" i="2"/>
  <c r="W8" i="2"/>
  <c r="Y8" i="2"/>
  <c r="AE8" i="2"/>
  <c r="AG8" i="2"/>
  <c r="AM8" i="2"/>
  <c r="AO8" i="2"/>
  <c r="AU8" i="2"/>
  <c r="AW8" i="2"/>
  <c r="BC8" i="2"/>
  <c r="BE8" i="2"/>
  <c r="BK8" i="2"/>
  <c r="BM8" i="2"/>
  <c r="BS8" i="2"/>
  <c r="BU8" i="2"/>
  <c r="CA8" i="2"/>
  <c r="CC8" i="2"/>
  <c r="CI8" i="2"/>
  <c r="CK8" i="2"/>
  <c r="CQ8" i="2"/>
  <c r="CS8" i="2"/>
  <c r="CY8" i="2"/>
  <c r="DA8" i="2"/>
  <c r="K9" i="2"/>
  <c r="O9" i="2"/>
  <c r="Q9" i="2"/>
  <c r="W9" i="2"/>
  <c r="Y9" i="2"/>
  <c r="AE9" i="2"/>
  <c r="AG9" i="2"/>
  <c r="AM9" i="2"/>
  <c r="AO9" i="2"/>
  <c r="AU9" i="2"/>
  <c r="AW9" i="2"/>
  <c r="BC9" i="2"/>
  <c r="BE9" i="2"/>
  <c r="BK9" i="2"/>
  <c r="BM9" i="2"/>
  <c r="BS9" i="2"/>
  <c r="BU9" i="2"/>
  <c r="CA9" i="2"/>
  <c r="CC9" i="2"/>
  <c r="CI9" i="2"/>
  <c r="CK9" i="2"/>
  <c r="CQ9" i="2"/>
  <c r="CS9" i="2"/>
  <c r="CY9" i="2"/>
  <c r="DA9" i="2"/>
  <c r="K10" i="2"/>
  <c r="O10" i="2"/>
  <c r="Q10" i="2"/>
  <c r="W10" i="2"/>
  <c r="Y10" i="2"/>
  <c r="AE10" i="2"/>
  <c r="AG10" i="2"/>
  <c r="AM10" i="2"/>
  <c r="AO10" i="2"/>
  <c r="AU10" i="2"/>
  <c r="AW10" i="2"/>
  <c r="BC10" i="2"/>
  <c r="BE10" i="2"/>
  <c r="BK10" i="2"/>
  <c r="BM10" i="2"/>
  <c r="BS10" i="2"/>
  <c r="BU10" i="2"/>
  <c r="CA10" i="2"/>
  <c r="CC10" i="2"/>
  <c r="CI10" i="2"/>
  <c r="CK10" i="2"/>
  <c r="CQ10" i="2"/>
  <c r="CS10" i="2"/>
  <c r="CY10" i="2"/>
  <c r="DA10" i="2"/>
  <c r="K11" i="2"/>
  <c r="O11" i="2"/>
  <c r="Q11" i="2"/>
  <c r="W11" i="2"/>
  <c r="Y11" i="2"/>
  <c r="AE11" i="2"/>
  <c r="AG11" i="2"/>
  <c r="AM11" i="2"/>
  <c r="AO11" i="2"/>
  <c r="AU11" i="2"/>
  <c r="AW11" i="2"/>
  <c r="BC11" i="2"/>
  <c r="BE11" i="2"/>
  <c r="BK11" i="2"/>
  <c r="BM11" i="2"/>
  <c r="BS11" i="2"/>
  <c r="BU11" i="2"/>
  <c r="CA11" i="2"/>
  <c r="CC11" i="2"/>
  <c r="CI11" i="2"/>
  <c r="CK11" i="2"/>
  <c r="CQ11" i="2"/>
  <c r="CS11" i="2"/>
  <c r="CY11" i="2"/>
  <c r="DA11" i="2"/>
  <c r="K12" i="2"/>
  <c r="O12" i="2"/>
  <c r="Q12" i="2"/>
  <c r="W12" i="2"/>
  <c r="Y12" i="2"/>
  <c r="AE12" i="2"/>
  <c r="AG12" i="2"/>
  <c r="AM12" i="2"/>
  <c r="AO12" i="2"/>
  <c r="AU12" i="2"/>
  <c r="AW12" i="2"/>
  <c r="BC12" i="2"/>
  <c r="BE12" i="2"/>
  <c r="BK12" i="2"/>
  <c r="BM12" i="2"/>
  <c r="BS12" i="2"/>
  <c r="BU12" i="2"/>
  <c r="CA12" i="2"/>
  <c r="CC12" i="2"/>
  <c r="CI12" i="2"/>
  <c r="CK12" i="2"/>
  <c r="CQ12" i="2"/>
  <c r="CS12" i="2"/>
  <c r="CY12" i="2"/>
  <c r="DA12" i="2"/>
  <c r="K13" i="2"/>
  <c r="O13" i="2"/>
  <c r="Q13" i="2"/>
  <c r="W13" i="2"/>
  <c r="Y13" i="2"/>
  <c r="AE13" i="2"/>
  <c r="AG13" i="2"/>
  <c r="AM13" i="2"/>
  <c r="AO13" i="2"/>
  <c r="AU13" i="2"/>
  <c r="AW13" i="2"/>
  <c r="BC13" i="2"/>
  <c r="BE13" i="2"/>
  <c r="BK13" i="2"/>
  <c r="BM13" i="2"/>
  <c r="BS13" i="2"/>
  <c r="BU13" i="2"/>
  <c r="CA13" i="2"/>
  <c r="CC13" i="2"/>
  <c r="CI13" i="2"/>
  <c r="CK13" i="2"/>
  <c r="CQ13" i="2"/>
  <c r="CS13" i="2"/>
  <c r="CY13" i="2"/>
  <c r="DA13" i="2"/>
  <c r="K14" i="2"/>
  <c r="O14" i="2"/>
  <c r="Q14" i="2"/>
  <c r="W14" i="2"/>
  <c r="Y14" i="2"/>
  <c r="AE14" i="2"/>
  <c r="AG14" i="2"/>
  <c r="AM14" i="2"/>
  <c r="AO14" i="2"/>
  <c r="AU14" i="2"/>
  <c r="AW14" i="2"/>
  <c r="BC14" i="2"/>
  <c r="BE14" i="2"/>
  <c r="BK14" i="2"/>
  <c r="BM14" i="2"/>
  <c r="BS14" i="2"/>
  <c r="BU14" i="2"/>
  <c r="CA14" i="2"/>
  <c r="CC14" i="2"/>
  <c r="CI14" i="2"/>
  <c r="CK14" i="2"/>
  <c r="CQ14" i="2"/>
  <c r="CS14" i="2"/>
  <c r="CY14" i="2"/>
  <c r="DA14" i="2"/>
  <c r="K15" i="2"/>
  <c r="O15" i="2"/>
  <c r="Q15" i="2"/>
  <c r="W15" i="2"/>
  <c r="Y15" i="2"/>
  <c r="AE15" i="2"/>
  <c r="AG15" i="2"/>
  <c r="AM15" i="2"/>
  <c r="AO15" i="2"/>
  <c r="AU15" i="2"/>
  <c r="AW15" i="2"/>
  <c r="BC15" i="2"/>
  <c r="BE15" i="2"/>
  <c r="BK15" i="2"/>
  <c r="BM15" i="2"/>
  <c r="BS15" i="2"/>
  <c r="BU15" i="2"/>
  <c r="CA15" i="2"/>
  <c r="CC15" i="2"/>
  <c r="CI15" i="2"/>
  <c r="CK15" i="2"/>
  <c r="CQ15" i="2"/>
  <c r="CS15" i="2"/>
  <c r="CY15" i="2"/>
  <c r="DA15" i="2"/>
  <c r="K16" i="2"/>
  <c r="O16" i="2"/>
  <c r="Q16" i="2"/>
  <c r="W16" i="2"/>
  <c r="Y16" i="2"/>
  <c r="AE16" i="2"/>
  <c r="AG16" i="2"/>
  <c r="AM16" i="2"/>
  <c r="AO16" i="2"/>
  <c r="AU16" i="2"/>
  <c r="AW16" i="2"/>
  <c r="BC16" i="2"/>
  <c r="BE16" i="2"/>
  <c r="BK16" i="2"/>
  <c r="BM16" i="2"/>
  <c r="BS16" i="2"/>
  <c r="BU16" i="2"/>
  <c r="CA16" i="2"/>
  <c r="CC16" i="2"/>
  <c r="CI16" i="2"/>
  <c r="CK16" i="2"/>
  <c r="CQ16" i="2"/>
  <c r="CS16" i="2"/>
  <c r="CY16" i="2"/>
  <c r="DA16" i="2"/>
  <c r="K17" i="2"/>
  <c r="O17" i="2"/>
  <c r="Q17" i="2"/>
  <c r="W17" i="2"/>
  <c r="Y17" i="2"/>
  <c r="AE17" i="2"/>
  <c r="AG17" i="2"/>
  <c r="AM17" i="2"/>
  <c r="AO17" i="2"/>
  <c r="AU17" i="2"/>
  <c r="AW17" i="2"/>
  <c r="BC17" i="2"/>
  <c r="BE17" i="2"/>
  <c r="BK17" i="2"/>
  <c r="BM17" i="2"/>
  <c r="BS17" i="2"/>
  <c r="BU17" i="2"/>
  <c r="CA17" i="2"/>
  <c r="CC17" i="2"/>
  <c r="CI17" i="2"/>
  <c r="CK17" i="2"/>
  <c r="CQ17" i="2"/>
  <c r="CS17" i="2"/>
  <c r="CY17" i="2"/>
  <c r="DA17" i="2"/>
  <c r="K18" i="2"/>
  <c r="O18" i="2"/>
  <c r="Q18" i="2"/>
  <c r="W18" i="2"/>
  <c r="Y18" i="2"/>
  <c r="AE18" i="2"/>
  <c r="AG18" i="2"/>
  <c r="AM18" i="2"/>
  <c r="AO18" i="2"/>
  <c r="AU18" i="2"/>
  <c r="AW18" i="2"/>
  <c r="BC18" i="2"/>
  <c r="BE18" i="2"/>
  <c r="BK18" i="2"/>
  <c r="BM18" i="2"/>
  <c r="BS18" i="2"/>
  <c r="BU18" i="2"/>
  <c r="CA18" i="2"/>
  <c r="CC18" i="2"/>
  <c r="CI18" i="2"/>
  <c r="CK18" i="2"/>
  <c r="CQ18" i="2"/>
  <c r="CS18" i="2"/>
  <c r="CY18" i="2"/>
  <c r="DA18" i="2"/>
  <c r="K19" i="2"/>
  <c r="O19" i="2"/>
  <c r="Q19" i="2"/>
  <c r="W19" i="2"/>
  <c r="Y19" i="2"/>
  <c r="AE19" i="2"/>
  <c r="AG19" i="2"/>
  <c r="AM19" i="2"/>
  <c r="AO19" i="2"/>
  <c r="AU19" i="2"/>
  <c r="AW19" i="2"/>
  <c r="BC19" i="2"/>
  <c r="BE19" i="2"/>
  <c r="BK19" i="2"/>
  <c r="BM19" i="2"/>
  <c r="BS19" i="2"/>
  <c r="BU19" i="2"/>
  <c r="CA19" i="2"/>
  <c r="CC19" i="2"/>
  <c r="CI19" i="2"/>
  <c r="CK19" i="2"/>
  <c r="CQ19" i="2"/>
  <c r="CS19" i="2"/>
  <c r="CY19" i="2"/>
  <c r="DA19" i="2"/>
  <c r="K20" i="2"/>
  <c r="O20" i="2"/>
  <c r="Q20" i="2"/>
  <c r="W20" i="2"/>
  <c r="Y20" i="2"/>
  <c r="AE20" i="2"/>
  <c r="AG20" i="2"/>
  <c r="AM20" i="2"/>
  <c r="AO20" i="2"/>
  <c r="AU20" i="2"/>
  <c r="AW20" i="2"/>
  <c r="BC20" i="2"/>
  <c r="BE20" i="2"/>
  <c r="BK20" i="2"/>
  <c r="BM20" i="2"/>
  <c r="BS20" i="2"/>
  <c r="BU20" i="2"/>
  <c r="CA20" i="2"/>
  <c r="CC20" i="2"/>
  <c r="CI20" i="2"/>
  <c r="CK20" i="2"/>
  <c r="CQ20" i="2"/>
  <c r="CS20" i="2"/>
  <c r="CY20" i="2"/>
  <c r="DA20" i="2"/>
  <c r="K21" i="2"/>
  <c r="O21" i="2"/>
  <c r="Q21" i="2"/>
  <c r="W21" i="2"/>
  <c r="Y21" i="2"/>
  <c r="AE21" i="2"/>
  <c r="AG21" i="2"/>
  <c r="AM21" i="2"/>
  <c r="AO21" i="2"/>
  <c r="AU21" i="2"/>
  <c r="AW21" i="2"/>
  <c r="BC21" i="2"/>
  <c r="BE21" i="2"/>
  <c r="BK21" i="2"/>
  <c r="BM21" i="2"/>
  <c r="BS21" i="2"/>
  <c r="BU21" i="2"/>
  <c r="CA21" i="2"/>
  <c r="CC21" i="2"/>
  <c r="CI21" i="2"/>
  <c r="CK21" i="2"/>
  <c r="CQ21" i="2"/>
  <c r="CS21" i="2"/>
  <c r="CY21" i="2"/>
  <c r="DA21" i="2"/>
  <c r="K22" i="2"/>
  <c r="O22" i="2"/>
  <c r="Q22" i="2"/>
  <c r="W22" i="2"/>
  <c r="Y22" i="2"/>
  <c r="AE22" i="2"/>
  <c r="AG22" i="2"/>
  <c r="AM22" i="2"/>
  <c r="AO22" i="2"/>
  <c r="AU22" i="2"/>
  <c r="AW22" i="2"/>
  <c r="BC22" i="2"/>
  <c r="BE22" i="2"/>
  <c r="BK22" i="2"/>
  <c r="BM22" i="2"/>
  <c r="BS22" i="2"/>
  <c r="BU22" i="2"/>
  <c r="CA22" i="2"/>
  <c r="CC22" i="2"/>
  <c r="CI22" i="2"/>
  <c r="CK22" i="2"/>
  <c r="CQ22" i="2"/>
  <c r="CS22" i="2"/>
  <c r="CY22" i="2"/>
  <c r="DA22" i="2"/>
  <c r="K23" i="2"/>
  <c r="O23" i="2"/>
  <c r="Q23" i="2"/>
  <c r="W23" i="2"/>
  <c r="Y23" i="2"/>
  <c r="AE23" i="2"/>
  <c r="AG23" i="2"/>
  <c r="AM23" i="2"/>
  <c r="AO23" i="2"/>
  <c r="AU23" i="2"/>
  <c r="AW23" i="2"/>
  <c r="BC23" i="2"/>
  <c r="BE23" i="2"/>
  <c r="BK23" i="2"/>
  <c r="BM23" i="2"/>
  <c r="BS23" i="2"/>
  <c r="BU23" i="2"/>
  <c r="CA23" i="2"/>
  <c r="CC23" i="2"/>
  <c r="CI23" i="2"/>
  <c r="CK23" i="2"/>
  <c r="CQ23" i="2"/>
  <c r="CS23" i="2"/>
  <c r="CY23" i="2"/>
  <c r="DA23" i="2"/>
  <c r="K24" i="2"/>
  <c r="O24" i="2"/>
  <c r="Q24" i="2"/>
  <c r="W24" i="2"/>
  <c r="Y24" i="2"/>
  <c r="AE24" i="2"/>
  <c r="AG24" i="2"/>
  <c r="AM24" i="2"/>
  <c r="AO24" i="2"/>
  <c r="AU24" i="2"/>
  <c r="AW24" i="2"/>
  <c r="BC24" i="2"/>
  <c r="BE24" i="2"/>
  <c r="BK24" i="2"/>
  <c r="BM24" i="2"/>
  <c r="BS24" i="2"/>
  <c r="BU24" i="2"/>
  <c r="CA24" i="2"/>
  <c r="CC24" i="2"/>
  <c r="CI24" i="2"/>
  <c r="CK24" i="2"/>
  <c r="CQ24" i="2"/>
  <c r="CS24" i="2"/>
  <c r="CY24" i="2"/>
  <c r="DA24" i="2"/>
  <c r="K25" i="2"/>
  <c r="O25" i="2"/>
  <c r="Q25" i="2"/>
  <c r="W25" i="2"/>
  <c r="Y25" i="2"/>
  <c r="AE25" i="2"/>
  <c r="AG25" i="2"/>
  <c r="AM25" i="2"/>
  <c r="AO25" i="2"/>
  <c r="AU25" i="2"/>
  <c r="AW25" i="2"/>
  <c r="BC25" i="2"/>
  <c r="BE25" i="2"/>
  <c r="BK25" i="2"/>
  <c r="BM25" i="2"/>
  <c r="BS25" i="2"/>
  <c r="BU25" i="2"/>
  <c r="CA25" i="2"/>
  <c r="CC25" i="2"/>
  <c r="CI25" i="2"/>
  <c r="CK25" i="2"/>
  <c r="CQ25" i="2"/>
  <c r="CS25" i="2"/>
  <c r="CY25" i="2"/>
  <c r="DA25" i="2"/>
  <c r="K26" i="2"/>
  <c r="O26" i="2"/>
  <c r="Q26" i="2"/>
  <c r="W26" i="2"/>
  <c r="Y26" i="2"/>
  <c r="AE26" i="2"/>
  <c r="AG26" i="2"/>
  <c r="AM26" i="2"/>
  <c r="AO26" i="2"/>
  <c r="AU26" i="2"/>
  <c r="AW26" i="2"/>
  <c r="BC26" i="2"/>
  <c r="BE26" i="2"/>
  <c r="BK26" i="2"/>
  <c r="BM26" i="2"/>
  <c r="BS26" i="2"/>
  <c r="BU26" i="2"/>
  <c r="CA26" i="2"/>
  <c r="CC26" i="2"/>
  <c r="CI26" i="2"/>
  <c r="CK26" i="2"/>
  <c r="CQ26" i="2"/>
  <c r="CS26" i="2"/>
  <c r="CY26" i="2"/>
  <c r="DA26" i="2"/>
  <c r="K27" i="2"/>
  <c r="O27" i="2"/>
  <c r="Q27" i="2"/>
  <c r="W27" i="2"/>
  <c r="Y27" i="2"/>
  <c r="AE27" i="2"/>
  <c r="AG27" i="2"/>
  <c r="AM27" i="2"/>
  <c r="AO27" i="2"/>
  <c r="AU27" i="2"/>
  <c r="AW27" i="2"/>
  <c r="BC27" i="2"/>
  <c r="BE27" i="2"/>
  <c r="BK27" i="2"/>
  <c r="BM27" i="2"/>
  <c r="BS27" i="2"/>
  <c r="BU27" i="2"/>
  <c r="CA27" i="2"/>
  <c r="CC27" i="2"/>
  <c r="CI27" i="2"/>
  <c r="CK27" i="2"/>
  <c r="CQ27" i="2"/>
  <c r="CS27" i="2"/>
  <c r="CY27" i="2"/>
  <c r="DA27" i="2"/>
  <c r="K28" i="2"/>
  <c r="O28" i="2"/>
  <c r="Q28" i="2"/>
  <c r="W28" i="2"/>
  <c r="Y28" i="2"/>
  <c r="AE28" i="2"/>
  <c r="AG28" i="2"/>
  <c r="AM28" i="2"/>
  <c r="AO28" i="2"/>
  <c r="AU28" i="2"/>
  <c r="AW28" i="2"/>
  <c r="BC28" i="2"/>
  <c r="BE28" i="2"/>
  <c r="BK28" i="2"/>
  <c r="BM28" i="2"/>
  <c r="BS28" i="2"/>
  <c r="BU28" i="2"/>
  <c r="CA28" i="2"/>
  <c r="CC28" i="2"/>
  <c r="CI28" i="2"/>
  <c r="CK28" i="2"/>
  <c r="CQ28" i="2"/>
  <c r="CS28" i="2"/>
  <c r="CY28" i="2"/>
  <c r="DA28" i="2"/>
  <c r="K29" i="2"/>
  <c r="O29" i="2"/>
  <c r="Q29" i="2"/>
  <c r="W29" i="2"/>
  <c r="Y29" i="2"/>
  <c r="AE29" i="2"/>
  <c r="AG29" i="2"/>
  <c r="AM29" i="2"/>
  <c r="AO29" i="2"/>
  <c r="AU29" i="2"/>
  <c r="AW29" i="2"/>
  <c r="BC29" i="2"/>
  <c r="BE29" i="2"/>
  <c r="BK29" i="2"/>
  <c r="BM29" i="2"/>
  <c r="BS29" i="2"/>
  <c r="BU29" i="2"/>
  <c r="CA29" i="2"/>
  <c r="CC29" i="2"/>
  <c r="CI29" i="2"/>
  <c r="CK29" i="2"/>
  <c r="CQ29" i="2"/>
  <c r="CS29" i="2"/>
  <c r="CY29" i="2"/>
  <c r="DA29" i="2"/>
  <c r="K30" i="2"/>
  <c r="O30" i="2"/>
  <c r="Q30" i="2"/>
  <c r="W30" i="2"/>
  <c r="Y30" i="2"/>
  <c r="AE30" i="2"/>
  <c r="AG30" i="2"/>
  <c r="AM30" i="2"/>
  <c r="AO30" i="2"/>
  <c r="AU30" i="2"/>
  <c r="AW30" i="2"/>
  <c r="BC30" i="2"/>
  <c r="BE30" i="2"/>
  <c r="BK30" i="2"/>
  <c r="BM30" i="2"/>
  <c r="BS30" i="2"/>
  <c r="BU30" i="2"/>
  <c r="CA30" i="2"/>
  <c r="CC30" i="2"/>
  <c r="CI30" i="2"/>
  <c r="CK30" i="2"/>
  <c r="CQ30" i="2"/>
  <c r="CS30" i="2"/>
  <c r="CY30" i="2"/>
  <c r="DA30" i="2"/>
  <c r="K31" i="2"/>
  <c r="O31" i="2"/>
  <c r="Q31" i="2"/>
  <c r="W31" i="2"/>
  <c r="Y31" i="2"/>
  <c r="AE31" i="2"/>
  <c r="AG31" i="2"/>
  <c r="AM31" i="2"/>
  <c r="AO31" i="2"/>
  <c r="AU31" i="2"/>
  <c r="AW31" i="2"/>
  <c r="BC31" i="2"/>
  <c r="BE31" i="2"/>
  <c r="BK31" i="2"/>
  <c r="BM31" i="2"/>
  <c r="BS31" i="2"/>
  <c r="BU31" i="2"/>
  <c r="CA31" i="2"/>
  <c r="CC31" i="2"/>
  <c r="CI31" i="2"/>
  <c r="CK31" i="2"/>
  <c r="CQ31" i="2"/>
  <c r="CS31" i="2"/>
  <c r="CY31" i="2"/>
  <c r="DA31" i="2"/>
  <c r="K32" i="2"/>
  <c r="O32" i="2"/>
  <c r="Q32" i="2"/>
  <c r="W32" i="2"/>
  <c r="Y32" i="2"/>
  <c r="AE32" i="2"/>
  <c r="AG32" i="2"/>
  <c r="AM32" i="2"/>
  <c r="AO32" i="2"/>
  <c r="AU32" i="2"/>
  <c r="AW32" i="2"/>
  <c r="BC32" i="2"/>
  <c r="BE32" i="2"/>
  <c r="BK32" i="2"/>
  <c r="BM32" i="2"/>
  <c r="BS32" i="2"/>
  <c r="BU32" i="2"/>
  <c r="CA32" i="2"/>
  <c r="CC32" i="2"/>
  <c r="CI32" i="2"/>
  <c r="CK32" i="2"/>
  <c r="CQ32" i="2"/>
  <c r="CS32" i="2"/>
  <c r="CY32" i="2"/>
  <c r="DA32" i="2"/>
  <c r="K33" i="2"/>
  <c r="O33" i="2"/>
  <c r="Q33" i="2"/>
  <c r="W33" i="2"/>
  <c r="Y33" i="2"/>
  <c r="AE33" i="2"/>
  <c r="AG33" i="2"/>
  <c r="AM33" i="2"/>
  <c r="AO33" i="2"/>
  <c r="AU33" i="2"/>
  <c r="AW33" i="2"/>
  <c r="BC33" i="2"/>
  <c r="BE33" i="2"/>
  <c r="BK33" i="2"/>
  <c r="BM33" i="2"/>
  <c r="BS33" i="2"/>
  <c r="BU33" i="2"/>
  <c r="CA33" i="2"/>
  <c r="CC33" i="2"/>
  <c r="CI33" i="2"/>
  <c r="CK33" i="2"/>
  <c r="CQ33" i="2"/>
  <c r="CS33" i="2"/>
  <c r="CY33" i="2"/>
  <c r="DA33" i="2"/>
  <c r="K34" i="2"/>
  <c r="O34" i="2"/>
  <c r="Q34" i="2"/>
  <c r="W34" i="2"/>
  <c r="Y34" i="2"/>
  <c r="AE34" i="2"/>
  <c r="AG34" i="2"/>
  <c r="AM34" i="2"/>
  <c r="AO34" i="2"/>
  <c r="AU34" i="2"/>
  <c r="AW34" i="2"/>
  <c r="BC34" i="2"/>
  <c r="BE34" i="2"/>
  <c r="BK34" i="2"/>
  <c r="BM34" i="2"/>
  <c r="BS34" i="2"/>
  <c r="BU34" i="2"/>
  <c r="CA34" i="2"/>
  <c r="CC34" i="2"/>
  <c r="CI34" i="2"/>
  <c r="CK34" i="2"/>
  <c r="CQ34" i="2"/>
  <c r="CS34" i="2"/>
  <c r="CY34" i="2"/>
  <c r="DA34" i="2"/>
  <c r="K35" i="2"/>
  <c r="O35" i="2"/>
  <c r="Q35" i="2"/>
  <c r="W35" i="2"/>
  <c r="Y35" i="2"/>
  <c r="AE35" i="2"/>
  <c r="AG35" i="2"/>
  <c r="AM35" i="2"/>
  <c r="AO35" i="2"/>
  <c r="AU35" i="2"/>
  <c r="AW35" i="2"/>
  <c r="BC35" i="2"/>
  <c r="BE35" i="2"/>
  <c r="BK35" i="2"/>
  <c r="BM35" i="2"/>
  <c r="BS35" i="2"/>
  <c r="BU35" i="2"/>
  <c r="CA35" i="2"/>
  <c r="CC35" i="2"/>
  <c r="CI35" i="2"/>
  <c r="CK35" i="2"/>
  <c r="CQ35" i="2"/>
  <c r="CS35" i="2"/>
  <c r="CY35" i="2"/>
  <c r="DA35" i="2"/>
  <c r="K36" i="2"/>
  <c r="O36" i="2"/>
  <c r="Q36" i="2"/>
  <c r="W36" i="2"/>
  <c r="Y36" i="2"/>
  <c r="AE36" i="2"/>
  <c r="AG36" i="2"/>
  <c r="AM36" i="2"/>
  <c r="AO36" i="2"/>
  <c r="AU36" i="2"/>
  <c r="AW36" i="2"/>
  <c r="BC36" i="2"/>
  <c r="BE36" i="2"/>
  <c r="BK36" i="2"/>
  <c r="BM36" i="2"/>
  <c r="BS36" i="2"/>
  <c r="BU36" i="2"/>
  <c r="CA36" i="2"/>
  <c r="CC36" i="2"/>
  <c r="CI36" i="2"/>
  <c r="CK36" i="2"/>
  <c r="CQ36" i="2"/>
  <c r="CS36" i="2"/>
  <c r="CY36" i="2"/>
  <c r="DA36" i="2"/>
  <c r="K37" i="2"/>
  <c r="O37" i="2"/>
  <c r="Q37" i="2"/>
  <c r="W37" i="2"/>
  <c r="Y37" i="2"/>
  <c r="AE37" i="2"/>
  <c r="AG37" i="2"/>
  <c r="AM37" i="2"/>
  <c r="AO37" i="2"/>
  <c r="AU37" i="2"/>
  <c r="AW37" i="2"/>
  <c r="BC37" i="2"/>
  <c r="BE37" i="2"/>
  <c r="BK37" i="2"/>
  <c r="BM37" i="2"/>
  <c r="BS37" i="2"/>
  <c r="BU37" i="2"/>
  <c r="CA37" i="2"/>
  <c r="CC37" i="2"/>
  <c r="CI37" i="2"/>
  <c r="CK37" i="2"/>
  <c r="CQ37" i="2"/>
  <c r="CS37" i="2"/>
  <c r="CY37" i="2"/>
  <c r="DA37" i="2"/>
  <c r="K38" i="2"/>
  <c r="O38" i="2"/>
  <c r="Q38" i="2"/>
  <c r="W38" i="2"/>
  <c r="Y38" i="2"/>
  <c r="AE38" i="2"/>
  <c r="AG38" i="2"/>
  <c r="AM38" i="2"/>
  <c r="AO38" i="2"/>
  <c r="AU38" i="2"/>
  <c r="AW38" i="2"/>
  <c r="BC38" i="2"/>
  <c r="BE38" i="2"/>
  <c r="BK38" i="2"/>
  <c r="BM38" i="2"/>
  <c r="BS38" i="2"/>
  <c r="BU38" i="2"/>
  <c r="CA38" i="2"/>
  <c r="CC38" i="2"/>
  <c r="CI38" i="2"/>
  <c r="CK38" i="2"/>
  <c r="CQ38" i="2"/>
  <c r="CS38" i="2"/>
  <c r="CY38" i="2"/>
  <c r="DA38" i="2"/>
  <c r="K39" i="2"/>
  <c r="O39" i="2"/>
  <c r="Q39" i="2"/>
  <c r="W39" i="2"/>
  <c r="Y39" i="2"/>
  <c r="AE39" i="2"/>
  <c r="AG39" i="2"/>
  <c r="AM39" i="2"/>
  <c r="AO39" i="2"/>
  <c r="AU39" i="2"/>
  <c r="AW39" i="2"/>
  <c r="BC39" i="2"/>
  <c r="BE39" i="2"/>
  <c r="BK39" i="2"/>
  <c r="BM39" i="2"/>
  <c r="BS39" i="2"/>
  <c r="BU39" i="2"/>
  <c r="CA39" i="2"/>
  <c r="CC39" i="2"/>
  <c r="CI39" i="2"/>
  <c r="CK39" i="2"/>
  <c r="CQ39" i="2"/>
  <c r="CS39" i="2"/>
  <c r="CY39" i="2"/>
  <c r="DA39" i="2"/>
  <c r="K40" i="2"/>
  <c r="O40" i="2"/>
  <c r="Q40" i="2"/>
  <c r="W40" i="2"/>
  <c r="Y40" i="2"/>
  <c r="AE40" i="2"/>
  <c r="AG40" i="2"/>
  <c r="AM40" i="2"/>
  <c r="AO40" i="2"/>
  <c r="AU40" i="2"/>
  <c r="AW40" i="2"/>
  <c r="BC40" i="2"/>
  <c r="BE40" i="2"/>
  <c r="BK40" i="2"/>
  <c r="BM40" i="2"/>
  <c r="BS40" i="2"/>
  <c r="BU40" i="2"/>
  <c r="CA40" i="2"/>
  <c r="CC40" i="2"/>
  <c r="CI40" i="2"/>
  <c r="CK40" i="2"/>
  <c r="CQ40" i="2"/>
  <c r="CS40" i="2"/>
  <c r="CY40" i="2"/>
  <c r="DA40" i="2"/>
  <c r="K41" i="2"/>
  <c r="O41" i="2"/>
  <c r="Q41" i="2"/>
  <c r="W41" i="2"/>
  <c r="Y41" i="2"/>
  <c r="AE41" i="2"/>
  <c r="AG41" i="2"/>
  <c r="AM41" i="2"/>
  <c r="AO41" i="2"/>
  <c r="AU41" i="2"/>
  <c r="AW41" i="2"/>
  <c r="BC41" i="2"/>
  <c r="BE41" i="2"/>
  <c r="BK41" i="2"/>
  <c r="BM41" i="2"/>
  <c r="BS41" i="2"/>
  <c r="BU41" i="2"/>
  <c r="CA41" i="2"/>
  <c r="CC41" i="2"/>
  <c r="CI41" i="2"/>
  <c r="CK41" i="2"/>
  <c r="CQ41" i="2"/>
  <c r="CS41" i="2"/>
  <c r="CY41" i="2"/>
  <c r="DA41" i="2"/>
  <c r="K42" i="2"/>
  <c r="O42" i="2"/>
  <c r="Q42" i="2"/>
  <c r="W42" i="2"/>
  <c r="Y42" i="2"/>
  <c r="AE42" i="2"/>
  <c r="AG42" i="2"/>
  <c r="AM42" i="2"/>
  <c r="AO42" i="2"/>
  <c r="AU42" i="2"/>
  <c r="AW42" i="2"/>
  <c r="BC42" i="2"/>
  <c r="BE42" i="2"/>
  <c r="BK42" i="2"/>
  <c r="BM42" i="2"/>
  <c r="BS42" i="2"/>
  <c r="BU42" i="2"/>
  <c r="CA42" i="2"/>
  <c r="CC42" i="2"/>
  <c r="CI42" i="2"/>
  <c r="CK42" i="2"/>
  <c r="CQ42" i="2"/>
  <c r="CS42" i="2"/>
  <c r="CY42" i="2"/>
  <c r="DA42" i="2"/>
  <c r="K43" i="2"/>
  <c r="O43" i="2"/>
  <c r="Q43" i="2"/>
  <c r="W43" i="2"/>
  <c r="Y43" i="2"/>
  <c r="AE43" i="2"/>
  <c r="AG43" i="2"/>
  <c r="AM43" i="2"/>
  <c r="AO43" i="2"/>
  <c r="AU43" i="2"/>
  <c r="AW43" i="2"/>
  <c r="BC43" i="2"/>
  <c r="BE43" i="2"/>
  <c r="BK43" i="2"/>
  <c r="BM43" i="2"/>
  <c r="BS43" i="2"/>
  <c r="BU43" i="2"/>
  <c r="CA43" i="2"/>
  <c r="CC43" i="2"/>
  <c r="CI43" i="2"/>
  <c r="CK43" i="2"/>
  <c r="CQ43" i="2"/>
  <c r="CS43" i="2"/>
  <c r="CY43" i="2"/>
  <c r="DA43" i="2"/>
  <c r="K44" i="2"/>
  <c r="O44" i="2"/>
  <c r="Q44" i="2"/>
  <c r="W44" i="2"/>
  <c r="Y44" i="2"/>
  <c r="AE44" i="2"/>
  <c r="AG44" i="2"/>
  <c r="AM44" i="2"/>
  <c r="AO44" i="2"/>
  <c r="AU44" i="2"/>
  <c r="AW44" i="2"/>
  <c r="BC44" i="2"/>
  <c r="BE44" i="2"/>
  <c r="BK44" i="2"/>
  <c r="BM44" i="2"/>
  <c r="BS44" i="2"/>
  <c r="BU44" i="2"/>
  <c r="CA44" i="2"/>
  <c r="CC44" i="2"/>
  <c r="CI44" i="2"/>
  <c r="CK44" i="2"/>
  <c r="CQ44" i="2"/>
  <c r="CS44" i="2"/>
  <c r="CY44" i="2"/>
  <c r="DA44" i="2"/>
  <c r="K45" i="2"/>
  <c r="O45" i="2"/>
  <c r="Q45" i="2"/>
  <c r="W45" i="2"/>
  <c r="Y45" i="2"/>
  <c r="AE45" i="2"/>
  <c r="AG45" i="2"/>
  <c r="AM45" i="2"/>
  <c r="AO45" i="2"/>
  <c r="AU45" i="2"/>
  <c r="AW45" i="2"/>
  <c r="BC45" i="2"/>
  <c r="BE45" i="2"/>
  <c r="BK45" i="2"/>
  <c r="BM45" i="2"/>
  <c r="BS45" i="2"/>
  <c r="BU45" i="2"/>
  <c r="CA45" i="2"/>
  <c r="CC45" i="2"/>
  <c r="CI45" i="2"/>
  <c r="CK45" i="2"/>
  <c r="CQ45" i="2"/>
  <c r="CS45" i="2"/>
  <c r="CY45" i="2"/>
  <c r="DA45" i="2"/>
  <c r="K46" i="2"/>
  <c r="O46" i="2"/>
  <c r="Q46" i="2"/>
  <c r="W46" i="2"/>
  <c r="Y46" i="2"/>
  <c r="AE46" i="2"/>
  <c r="AG46" i="2"/>
  <c r="AM46" i="2"/>
  <c r="AO46" i="2"/>
  <c r="AU46" i="2"/>
  <c r="AW46" i="2"/>
  <c r="BC46" i="2"/>
  <c r="BE46" i="2"/>
  <c r="BK46" i="2"/>
  <c r="BM46" i="2"/>
  <c r="BS46" i="2"/>
  <c r="BU46" i="2"/>
  <c r="CA46" i="2"/>
  <c r="CC46" i="2"/>
  <c r="CI46" i="2"/>
  <c r="CK46" i="2"/>
  <c r="CQ46" i="2"/>
  <c r="CS46" i="2"/>
  <c r="CY46" i="2"/>
  <c r="DA46" i="2"/>
  <c r="K47" i="2"/>
  <c r="O47" i="2"/>
  <c r="Q47" i="2"/>
  <c r="W47" i="2"/>
  <c r="Y47" i="2"/>
  <c r="AE47" i="2"/>
  <c r="AG47" i="2"/>
  <c r="AM47" i="2"/>
  <c r="AO47" i="2"/>
  <c r="AU47" i="2"/>
  <c r="AW47" i="2"/>
  <c r="BC47" i="2"/>
  <c r="BE47" i="2"/>
  <c r="BK47" i="2"/>
  <c r="BM47" i="2"/>
  <c r="BS47" i="2"/>
  <c r="BU47" i="2"/>
  <c r="CA47" i="2"/>
  <c r="CC47" i="2"/>
  <c r="CI47" i="2"/>
  <c r="CK47" i="2"/>
  <c r="CQ47" i="2"/>
  <c r="CS47" i="2"/>
  <c r="CY47" i="2"/>
  <c r="DA47" i="2"/>
  <c r="K48" i="2"/>
  <c r="O48" i="2"/>
  <c r="Q48" i="2"/>
  <c r="W48" i="2"/>
  <c r="Y48" i="2"/>
  <c r="AE48" i="2"/>
  <c r="AG48" i="2"/>
  <c r="AM48" i="2"/>
  <c r="AO48" i="2"/>
  <c r="AU48" i="2"/>
  <c r="AW48" i="2"/>
  <c r="BC48" i="2"/>
  <c r="BE48" i="2"/>
  <c r="BK48" i="2"/>
  <c r="BM48" i="2"/>
  <c r="BS48" i="2"/>
  <c r="BU48" i="2"/>
  <c r="CA48" i="2"/>
  <c r="CC48" i="2"/>
  <c r="CI48" i="2"/>
  <c r="CK48" i="2"/>
  <c r="CQ48" i="2"/>
  <c r="CS48" i="2"/>
  <c r="CY48" i="2"/>
  <c r="DA48" i="2"/>
  <c r="K49" i="2"/>
  <c r="O49" i="2"/>
  <c r="Q49" i="2"/>
  <c r="W49" i="2"/>
  <c r="Y49" i="2"/>
  <c r="AE49" i="2"/>
  <c r="AG49" i="2"/>
  <c r="AM49" i="2"/>
  <c r="AO49" i="2"/>
  <c r="AU49" i="2"/>
  <c r="AW49" i="2"/>
  <c r="BC49" i="2"/>
  <c r="BE49" i="2"/>
  <c r="BK49" i="2"/>
  <c r="BM49" i="2"/>
  <c r="BS49" i="2"/>
  <c r="BU49" i="2"/>
  <c r="CA49" i="2"/>
  <c r="CC49" i="2"/>
  <c r="CI49" i="2"/>
  <c r="CK49" i="2"/>
  <c r="CQ49" i="2"/>
  <c r="CS49" i="2"/>
  <c r="CY49" i="2"/>
  <c r="DA49" i="2"/>
  <c r="K50" i="2"/>
  <c r="O50" i="2"/>
  <c r="Q50" i="2"/>
  <c r="W50" i="2"/>
  <c r="Y50" i="2"/>
  <c r="AE50" i="2"/>
  <c r="AG50" i="2"/>
  <c r="AM50" i="2"/>
  <c r="AO50" i="2"/>
  <c r="AU50" i="2"/>
  <c r="AW50" i="2"/>
  <c r="BC50" i="2"/>
  <c r="BE50" i="2"/>
  <c r="BK50" i="2"/>
  <c r="BM50" i="2"/>
  <c r="BS50" i="2"/>
  <c r="BU50" i="2"/>
  <c r="CA50" i="2"/>
  <c r="CC50" i="2"/>
  <c r="CI50" i="2"/>
  <c r="CK50" i="2"/>
  <c r="CQ50" i="2"/>
  <c r="CS50" i="2"/>
  <c r="CY50" i="2"/>
  <c r="DA50" i="2"/>
  <c r="K51" i="2"/>
  <c r="O51" i="2"/>
  <c r="Q51" i="2"/>
  <c r="W51" i="2"/>
  <c r="Y51" i="2"/>
  <c r="AE51" i="2"/>
  <c r="AG51" i="2"/>
  <c r="AM51" i="2"/>
  <c r="AO51" i="2"/>
  <c r="AU51" i="2"/>
  <c r="AW51" i="2"/>
  <c r="BC51" i="2"/>
  <c r="BE51" i="2"/>
  <c r="BK51" i="2"/>
  <c r="BM51" i="2"/>
  <c r="BS51" i="2"/>
  <c r="BU51" i="2"/>
  <c r="CA51" i="2"/>
  <c r="CC51" i="2"/>
  <c r="CI51" i="2"/>
  <c r="CK51" i="2"/>
  <c r="CQ51" i="2"/>
  <c r="CS51" i="2"/>
  <c r="CY51" i="2"/>
  <c r="DA51" i="2"/>
  <c r="K52" i="2"/>
  <c r="O52" i="2"/>
  <c r="Q52" i="2"/>
  <c r="W52" i="2"/>
  <c r="Y52" i="2"/>
  <c r="AE52" i="2"/>
  <c r="AG52" i="2"/>
  <c r="AM52" i="2"/>
  <c r="AO52" i="2"/>
  <c r="AU52" i="2"/>
  <c r="AW52" i="2"/>
  <c r="BC52" i="2"/>
  <c r="BE52" i="2"/>
  <c r="BK52" i="2"/>
  <c r="BM52" i="2"/>
  <c r="BS52" i="2"/>
  <c r="BU52" i="2"/>
  <c r="CA52" i="2"/>
  <c r="CC52" i="2"/>
  <c r="CI52" i="2"/>
  <c r="CK52" i="2"/>
  <c r="CQ52" i="2"/>
  <c r="CS52" i="2"/>
  <c r="CY52" i="2"/>
  <c r="DA52" i="2"/>
  <c r="K53" i="2"/>
  <c r="O53" i="2"/>
  <c r="Q53" i="2"/>
  <c r="W53" i="2"/>
  <c r="Y53" i="2"/>
  <c r="AE53" i="2"/>
  <c r="AG53" i="2"/>
  <c r="AM53" i="2"/>
  <c r="AO53" i="2"/>
  <c r="AU53" i="2"/>
  <c r="AW53" i="2"/>
  <c r="BC53" i="2"/>
  <c r="BE53" i="2"/>
  <c r="BK53" i="2"/>
  <c r="BM53" i="2"/>
  <c r="BS53" i="2"/>
  <c r="BU53" i="2"/>
  <c r="CA53" i="2"/>
  <c r="CC53" i="2"/>
  <c r="CI53" i="2"/>
  <c r="CK53" i="2"/>
  <c r="CQ53" i="2"/>
  <c r="CS53" i="2"/>
  <c r="CY53" i="2"/>
  <c r="DA53" i="2"/>
  <c r="K54" i="2"/>
  <c r="O54" i="2"/>
  <c r="Q54" i="2"/>
  <c r="W54" i="2"/>
  <c r="Y54" i="2"/>
  <c r="AE54" i="2"/>
  <c r="AG54" i="2"/>
  <c r="AM54" i="2"/>
  <c r="AO54" i="2"/>
  <c r="AU54" i="2"/>
  <c r="AW54" i="2"/>
  <c r="BC54" i="2"/>
  <c r="BE54" i="2"/>
  <c r="BK54" i="2"/>
  <c r="BM54" i="2"/>
  <c r="BS54" i="2"/>
  <c r="BU54" i="2"/>
  <c r="CA54" i="2"/>
  <c r="CC54" i="2"/>
  <c r="CI54" i="2"/>
  <c r="CK54" i="2"/>
  <c r="CQ54" i="2"/>
  <c r="CS54" i="2"/>
  <c r="CY54" i="2"/>
  <c r="DA54" i="2"/>
  <c r="K55" i="2"/>
  <c r="O55" i="2"/>
  <c r="Q55" i="2"/>
  <c r="W55" i="2"/>
  <c r="Y55" i="2"/>
  <c r="AE55" i="2"/>
  <c r="AG55" i="2"/>
  <c r="AM55" i="2"/>
  <c r="AO55" i="2"/>
  <c r="AU55" i="2"/>
  <c r="AW55" i="2"/>
  <c r="BC55" i="2"/>
  <c r="BE55" i="2"/>
  <c r="BK55" i="2"/>
  <c r="BM55" i="2"/>
  <c r="BS55" i="2"/>
  <c r="BU55" i="2"/>
  <c r="CA55" i="2"/>
  <c r="CC55" i="2"/>
  <c r="CI55" i="2"/>
  <c r="CK55" i="2"/>
  <c r="CQ55" i="2"/>
  <c r="CS55" i="2"/>
  <c r="CY55" i="2"/>
  <c r="DA55" i="2"/>
  <c r="K56" i="2"/>
  <c r="O56" i="2"/>
  <c r="Q56" i="2"/>
  <c r="W56" i="2"/>
  <c r="Y56" i="2"/>
  <c r="AE56" i="2"/>
  <c r="AG56" i="2"/>
  <c r="AM56" i="2"/>
  <c r="AO56" i="2"/>
  <c r="AU56" i="2"/>
  <c r="AW56" i="2"/>
  <c r="BC56" i="2"/>
  <c r="BE56" i="2"/>
  <c r="BK56" i="2"/>
  <c r="BM56" i="2"/>
  <c r="BS56" i="2"/>
  <c r="BU56" i="2"/>
  <c r="CA56" i="2"/>
  <c r="CC56" i="2"/>
  <c r="CI56" i="2"/>
  <c r="CK56" i="2"/>
  <c r="CQ56" i="2"/>
  <c r="CS56" i="2"/>
  <c r="CY56" i="2"/>
  <c r="DA56" i="2"/>
  <c r="K57" i="2"/>
  <c r="O57" i="2"/>
  <c r="Q57" i="2"/>
  <c r="W57" i="2"/>
  <c r="Y57" i="2"/>
  <c r="AE57" i="2"/>
  <c r="AG57" i="2"/>
  <c r="AM57" i="2"/>
  <c r="AO57" i="2"/>
  <c r="AU57" i="2"/>
  <c r="AW57" i="2"/>
  <c r="BC57" i="2"/>
  <c r="BE57" i="2"/>
  <c r="BK57" i="2"/>
  <c r="BM57" i="2"/>
  <c r="BS57" i="2"/>
  <c r="BU57" i="2"/>
  <c r="CA57" i="2"/>
  <c r="CC57" i="2"/>
  <c r="CI57" i="2"/>
  <c r="CK57" i="2"/>
  <c r="CQ57" i="2"/>
  <c r="CS57" i="2"/>
  <c r="CY57" i="2"/>
  <c r="DA57" i="2"/>
  <c r="K58" i="2"/>
  <c r="O58" i="2"/>
  <c r="Q58" i="2"/>
  <c r="W58" i="2"/>
  <c r="Y58" i="2"/>
  <c r="AE58" i="2"/>
  <c r="AG58" i="2"/>
  <c r="AM58" i="2"/>
  <c r="AO58" i="2"/>
  <c r="AU58" i="2"/>
  <c r="AW58" i="2"/>
  <c r="BC58" i="2"/>
  <c r="BE58" i="2"/>
  <c r="BK58" i="2"/>
  <c r="BM58" i="2"/>
  <c r="BS58" i="2"/>
  <c r="BU58" i="2"/>
  <c r="CA58" i="2"/>
  <c r="CC58" i="2"/>
  <c r="CI58" i="2"/>
  <c r="CK58" i="2"/>
  <c r="CQ58" i="2"/>
  <c r="CS58" i="2"/>
  <c r="CY58" i="2"/>
  <c r="DA58" i="2"/>
  <c r="K59" i="2"/>
  <c r="O59" i="2"/>
  <c r="Q59" i="2"/>
  <c r="W59" i="2"/>
  <c r="Y59" i="2"/>
  <c r="AE59" i="2"/>
  <c r="AG59" i="2"/>
  <c r="AM59" i="2"/>
  <c r="AO59" i="2"/>
  <c r="AU59" i="2"/>
  <c r="AW59" i="2"/>
  <c r="BC59" i="2"/>
  <c r="BE59" i="2"/>
  <c r="BK59" i="2"/>
  <c r="BM59" i="2"/>
  <c r="BS59" i="2"/>
  <c r="BU59" i="2"/>
  <c r="CA59" i="2"/>
  <c r="CC59" i="2"/>
  <c r="CI59" i="2"/>
  <c r="CK59" i="2"/>
  <c r="CQ59" i="2"/>
  <c r="CS59" i="2"/>
  <c r="CY59" i="2"/>
  <c r="DA59" i="2"/>
  <c r="DQ60" i="2"/>
  <c r="DO60" i="2"/>
  <c r="DN60" i="2"/>
  <c r="DM60" i="2"/>
  <c r="DC60" i="2"/>
  <c r="DB60" i="2"/>
  <c r="CW60" i="2"/>
  <c r="CV60" i="2"/>
  <c r="CU60" i="2"/>
  <c r="CT60" i="2"/>
  <c r="CO60" i="2"/>
  <c r="CN60" i="2"/>
  <c r="CM60" i="2"/>
  <c r="CL60" i="2"/>
  <c r="CG60" i="2"/>
  <c r="CF60" i="2"/>
  <c r="CE60" i="2"/>
  <c r="CD60" i="2"/>
  <c r="BY60" i="2"/>
  <c r="BX60" i="2"/>
  <c r="BW60" i="2"/>
  <c r="BV60" i="2"/>
  <c r="BQ60" i="2"/>
  <c r="BP60" i="2"/>
  <c r="BN60" i="2"/>
  <c r="BF60" i="2"/>
  <c r="AX60" i="2"/>
  <c r="AP60" i="2"/>
  <c r="AH60" i="2"/>
  <c r="R60" i="2"/>
  <c r="S60" i="2"/>
  <c r="Z60" i="2"/>
  <c r="AA60" i="2"/>
  <c r="AI60" i="2"/>
  <c r="AQ60" i="2"/>
  <c r="AY60" i="2"/>
  <c r="BG60" i="2"/>
  <c r="BO60" i="2"/>
  <c r="BI60" i="2"/>
  <c r="BH60" i="2"/>
  <c r="BA60" i="2"/>
  <c r="AZ60" i="2"/>
  <c r="AS60" i="2"/>
  <c r="AR60" i="2"/>
  <c r="AK60" i="2"/>
  <c r="AJ60" i="2"/>
  <c r="AC60" i="2"/>
  <c r="AB60" i="2"/>
  <c r="U60" i="2"/>
  <c r="T60" i="2"/>
  <c r="D60" i="2"/>
  <c r="E60" i="2"/>
  <c r="F60" i="2"/>
  <c r="G60" i="2"/>
  <c r="H60" i="2"/>
  <c r="I60" i="2"/>
  <c r="J60" i="2"/>
  <c r="L60" i="2"/>
  <c r="M60" i="2"/>
  <c r="C60" i="2"/>
  <c r="DF29" i="2" l="1"/>
  <c r="DF50" i="2"/>
  <c r="DF42" i="2"/>
  <c r="DF34" i="2"/>
  <c r="DF26" i="2"/>
  <c r="DF18" i="2"/>
  <c r="DF10" i="2"/>
  <c r="DF58" i="2"/>
  <c r="DF52" i="2"/>
  <c r="DF44" i="2"/>
  <c r="DF36" i="2"/>
  <c r="DF28" i="2"/>
  <c r="DF20" i="2"/>
  <c r="DF12" i="2"/>
  <c r="DF53" i="2"/>
  <c r="DF45" i="2"/>
  <c r="DF37" i="2"/>
  <c r="Q5" i="2"/>
  <c r="Q60" i="2" s="1"/>
  <c r="K5" i="2"/>
  <c r="K60" i="2" s="1"/>
  <c r="DG60" i="2" l="1"/>
  <c r="DA5" i="2"/>
  <c r="DA60" i="2" s="1"/>
  <c r="CY5" i="2"/>
  <c r="CY60" i="2" s="1"/>
  <c r="CS5" i="2"/>
  <c r="CS60" i="2" s="1"/>
  <c r="CQ5" i="2"/>
  <c r="CQ60" i="2" s="1"/>
  <c r="CK5" i="2"/>
  <c r="CI5" i="2"/>
  <c r="BS5" i="2"/>
  <c r="BS60" i="2" s="1"/>
  <c r="BK5" i="2"/>
  <c r="BK60" i="2" s="1"/>
  <c r="AU5" i="2"/>
  <c r="AU60" i="2" s="1"/>
  <c r="BE5" i="2"/>
  <c r="BE60" i="2" s="1"/>
  <c r="CC5" i="2"/>
  <c r="CC60" i="2" s="1"/>
  <c r="CA5" i="2"/>
  <c r="CA60" i="2" s="1"/>
  <c r="BU5" i="2"/>
  <c r="BU60" i="2" s="1"/>
  <c r="BM5" i="2"/>
  <c r="BM60" i="2" s="1"/>
  <c r="BC5" i="2"/>
  <c r="BC60" i="2" s="1"/>
  <c r="AW5" i="2"/>
  <c r="AW60" i="2" s="1"/>
  <c r="AO5" i="2"/>
  <c r="AO60" i="2" s="1"/>
  <c r="AM5" i="2"/>
  <c r="AM60" i="2" s="1"/>
  <c r="AG5" i="2"/>
  <c r="AG60" i="2" s="1"/>
  <c r="AE5" i="2"/>
  <c r="AE60" i="2" s="1"/>
  <c r="W5" i="2"/>
  <c r="W60" i="2" s="1"/>
  <c r="O5" i="2"/>
  <c r="O60" i="2" s="1"/>
  <c r="Y5" i="2"/>
  <c r="Y60" i="2" s="1"/>
  <c r="DK60" i="2"/>
  <c r="DJ60" i="2"/>
  <c r="CK60" i="2" l="1"/>
  <c r="CJ60" i="2" s="1"/>
  <c r="CI60" i="2"/>
  <c r="CH60" i="2" s="1"/>
  <c r="BZ60" i="2"/>
  <c r="CP60" i="2"/>
  <c r="CX60" i="2"/>
  <c r="BR60" i="2"/>
  <c r="BT60" i="2"/>
  <c r="AF60" i="2"/>
  <c r="CB60" i="2"/>
  <c r="CR60" i="2"/>
  <c r="CZ60" i="2"/>
  <c r="BL60" i="2"/>
  <c r="DP5" i="2"/>
  <c r="DE60" i="2"/>
  <c r="AT60" i="2"/>
  <c r="BD60" i="2"/>
  <c r="BB60" i="2"/>
  <c r="BJ60" i="2"/>
  <c r="DH60" i="2"/>
  <c r="DI60" i="2" l="1"/>
  <c r="DF60" i="2"/>
  <c r="DP60" i="2"/>
  <c r="AL60" i="2"/>
  <c r="AD60" i="2"/>
  <c r="AN60" i="2"/>
  <c r="X60" i="2"/>
  <c r="AV60" i="2"/>
  <c r="V60" i="2"/>
  <c r="N60" i="2"/>
  <c r="P6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tc={B724D037-8999-404D-9D1D-4E502E02C52F}</author>
    <author>tc={8C6CBCFB-C439-419C-8432-2EA33AADDC0A}</author>
  </authors>
  <commentList>
    <comment ref="J4" authorId="0" shapeId="0" xr:uid="{B724D037-8999-404D-9D1D-4E502E02C52F}">
      <text>
        <t>[Threaded comment]
Your version of Excel allows you to read this threaded comment; however, any edits to it will get removed if the file is opened in a newer version of Excel. Learn more: https://go.microsoft.com/fwlink/?linkid=870924
Comment:
    Customer will decide when to run their report and dates. In this example, these values are through  3 qtrs/9 mos.</t>
      </text>
    </comment>
    <comment ref="K4" authorId="1" shapeId="0" xr:uid="{8C6CBCFB-C439-419C-8432-2EA33AADDC0A}">
      <text>
        <t>[Threaded comment]
Your version of Excel allows you to read this threaded comment; however, any edits to it will get removed if the file is opened in a newer version of Excel. Learn more: https://go.microsoft.com/fwlink/?linkid=870924
Comment:
    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
      </text>
    </comment>
  </commentList>
</comments>
</file>

<file path=xl/sharedStrings.xml><?xml version="1.0" encoding="utf-8"?>
<sst xmlns="http://schemas.openxmlformats.org/spreadsheetml/2006/main" count="234" uniqueCount="171">
  <si>
    <t>FORECAST YEAR:</t>
  </si>
  <si>
    <t>Salesperson</t>
  </si>
  <si>
    <t>Customer Name</t>
  </si>
  <si>
    <t>2016 Sales</t>
  </si>
  <si>
    <t>2017 Sales</t>
  </si>
  <si>
    <t>2018 Sales</t>
  </si>
  <si>
    <t>2019 Sales</t>
  </si>
  <si>
    <t>2020 Sales</t>
  </si>
  <si>
    <t>2021 Sales</t>
  </si>
  <si>
    <t>2022 Sales</t>
  </si>
  <si>
    <t>Current Year's Sales (Through 9 months)</t>
  </si>
  <si>
    <t>Current Year End Projected Sales</t>
  </si>
  <si>
    <t>Jan Sales Forecast</t>
  </si>
  <si>
    <t>Jan Sales Target</t>
  </si>
  <si>
    <t>Jan  GPP Forecast</t>
  </si>
  <si>
    <t>Jan GPD Forecast</t>
  </si>
  <si>
    <t>Jan GPP Target</t>
  </si>
  <si>
    <t>JAN GPD Target</t>
  </si>
  <si>
    <t>Jan  Calls Forecast</t>
  </si>
  <si>
    <t>Jan Calls Target</t>
  </si>
  <si>
    <t>Feb Sales Forecast</t>
  </si>
  <si>
    <t>Feb Sales Target</t>
  </si>
  <si>
    <t>Feb GPP Forecast</t>
  </si>
  <si>
    <t>Feb GPD Forecast</t>
  </si>
  <si>
    <t>Feb GPP Target</t>
  </si>
  <si>
    <t>Feb GPD Target</t>
  </si>
  <si>
    <t>Feb  Calls Forecast</t>
  </si>
  <si>
    <t>Feb Calls Target</t>
  </si>
  <si>
    <t>Mar Sales Forecast</t>
  </si>
  <si>
    <t>Mar Sales Target</t>
  </si>
  <si>
    <t>Mar GPP Forecast</t>
  </si>
  <si>
    <t>Mar GPD Forecast</t>
  </si>
  <si>
    <t>Mar GPP Target</t>
  </si>
  <si>
    <t>Mar GPD Target</t>
  </si>
  <si>
    <t>Mar Calls Forecast</t>
  </si>
  <si>
    <t>Mar Calls Target</t>
  </si>
  <si>
    <t>Apr Sales Forecast</t>
  </si>
  <si>
    <t>Apr Sales Target</t>
  </si>
  <si>
    <t>April GPP Forecast</t>
  </si>
  <si>
    <t>April GPD Forecast</t>
  </si>
  <si>
    <t>April GPP Target</t>
  </si>
  <si>
    <t>April GPD Target</t>
  </si>
  <si>
    <t>Apr Calls Forecast</t>
  </si>
  <si>
    <t>Apr Calls Target</t>
  </si>
  <si>
    <t>May Sales Forecast</t>
  </si>
  <si>
    <t>May Sales Target</t>
  </si>
  <si>
    <t>May GPP Forecast</t>
  </si>
  <si>
    <t>May GPD Forecast</t>
  </si>
  <si>
    <t>May GPP Target</t>
  </si>
  <si>
    <t>May GPD Target</t>
  </si>
  <si>
    <t>May Calls Forecast</t>
  </si>
  <si>
    <t>May Calls Target</t>
  </si>
  <si>
    <t>June Sales Forecast</t>
  </si>
  <si>
    <t>June Sales Target</t>
  </si>
  <si>
    <t>June GPP Forecast</t>
  </si>
  <si>
    <t>June GPD Forecast</t>
  </si>
  <si>
    <t>June GPP Target</t>
  </si>
  <si>
    <t>June GPD Target</t>
  </si>
  <si>
    <t>June Calls Forecast</t>
  </si>
  <si>
    <t>June Calls Target</t>
  </si>
  <si>
    <t>July Sales Forecast</t>
  </si>
  <si>
    <t>July Sales Target</t>
  </si>
  <si>
    <t>July GPP Forecast</t>
  </si>
  <si>
    <t>July GPD Forecast</t>
  </si>
  <si>
    <t>July GPP Target</t>
  </si>
  <si>
    <t>July GPD Target</t>
  </si>
  <si>
    <t>July Calls Forecast</t>
  </si>
  <si>
    <t>July Calls Target</t>
  </si>
  <si>
    <t>Aug Sales Forecast</t>
  </si>
  <si>
    <t>Aug Sales Target</t>
  </si>
  <si>
    <t>Aug GPP Forecast</t>
  </si>
  <si>
    <t>Aug GPD Forecast</t>
  </si>
  <si>
    <t>Aug GPP Target</t>
  </si>
  <si>
    <t>Aug GPD Target</t>
  </si>
  <si>
    <t>Aug Calls Forecast</t>
  </si>
  <si>
    <t>Aug Calls Target</t>
  </si>
  <si>
    <t>Sept Sales Forecast</t>
  </si>
  <si>
    <t>Sept Sales Target</t>
  </si>
  <si>
    <t>Sept GPP Forecast</t>
  </si>
  <si>
    <t>Sept GPD Forecast</t>
  </si>
  <si>
    <t>Sept GPP Target</t>
  </si>
  <si>
    <t>Sept GPD Target</t>
  </si>
  <si>
    <t>Sept Calls Forecast</t>
  </si>
  <si>
    <t>Sept Calls Target</t>
  </si>
  <si>
    <t>Oct Sales Forecast</t>
  </si>
  <si>
    <t>Oct Sales Target</t>
  </si>
  <si>
    <t>Oct GPP Forecast</t>
  </si>
  <si>
    <t>Oct GPD Forecast</t>
  </si>
  <si>
    <t>Oct GPP Target</t>
  </si>
  <si>
    <t>Oct GPD Target</t>
  </si>
  <si>
    <t>Oct Calls Forecast</t>
  </si>
  <si>
    <t>Oct Calls Target</t>
  </si>
  <si>
    <t>Nov Sales Forecast</t>
  </si>
  <si>
    <t>Nov Sales Target</t>
  </si>
  <si>
    <t>Nov GPP Forecast</t>
  </si>
  <si>
    <t>Nov GPD Forecast</t>
  </si>
  <si>
    <t>Nov GPP Target</t>
  </si>
  <si>
    <t>Nov GPD Target</t>
  </si>
  <si>
    <t>Nov Calls Forecast</t>
  </si>
  <si>
    <t>Nov Calls Target</t>
  </si>
  <si>
    <t>Dec Sales Forecast</t>
  </si>
  <si>
    <t>Dec Sales Target</t>
  </si>
  <si>
    <t>Dec GPP Forecast</t>
  </si>
  <si>
    <t>Dec GPD Forecast</t>
  </si>
  <si>
    <t>Dec GPP Target</t>
  </si>
  <si>
    <t>Dec GPD Target</t>
  </si>
  <si>
    <t>Dec Calls Forecast</t>
  </si>
  <si>
    <t>Dec Calls Target</t>
  </si>
  <si>
    <t>Total Sales Forecast</t>
  </si>
  <si>
    <t>Total GPD Forecast</t>
  </si>
  <si>
    <t>Total GPP Forecast</t>
  </si>
  <si>
    <t>Total Sales Target</t>
  </si>
  <si>
    <t>Total GPD Target</t>
  </si>
  <si>
    <t>Total GPP Target</t>
  </si>
  <si>
    <t>Total Calls Forecast</t>
  </si>
  <si>
    <t>Total Calls Target</t>
  </si>
  <si>
    <t>Strategy</t>
  </si>
  <si>
    <t>Potential</t>
  </si>
  <si>
    <t>Current Opportunity</t>
  </si>
  <si>
    <t>Future Opportunity</t>
  </si>
  <si>
    <t>Market Share</t>
  </si>
  <si>
    <t>At Risk</t>
  </si>
  <si>
    <t>Risk Explanation</t>
  </si>
  <si>
    <t>GRAND TOTALS</t>
  </si>
  <si>
    <t>All Start Peanuts LLC</t>
  </si>
  <si>
    <t>Continental Floral Greens</t>
  </si>
  <si>
    <t>Desert Creek Ranch</t>
  </si>
  <si>
    <t>FrankDick Farms</t>
  </si>
  <si>
    <t>J&amp;S Brothers Farms LLC</t>
  </si>
  <si>
    <t>Martori Farms</t>
  </si>
  <si>
    <t>Acosta Farms Inc.</t>
  </si>
  <si>
    <t>Alger Farms, Inc</t>
  </si>
  <si>
    <t>Andersen Farms</t>
  </si>
  <si>
    <t>B&amp;W Quality Growers</t>
  </si>
  <si>
    <t>Continental Floral FL, LLC</t>
  </si>
  <si>
    <t>Costa Farm</t>
  </si>
  <si>
    <t>Everbloom Growers, Inc</t>
  </si>
  <si>
    <t>Exotic Botanicals Inc.</t>
  </si>
  <si>
    <t>FERNLEA Nurseries</t>
  </si>
  <si>
    <t>FERNLEA NURSERIES JUPITER</t>
  </si>
  <si>
    <t>Florida Tuxedo Plants</t>
  </si>
  <si>
    <t>Morejon Farms LLC</t>
  </si>
  <si>
    <t>Nature’s Quality Designs, LLC</t>
  </si>
  <si>
    <t>Nature's Way Farms, LLC</t>
  </si>
  <si>
    <t>Rivers Plant farm</t>
  </si>
  <si>
    <t>United Nursery, LLC</t>
  </si>
  <si>
    <t>Vera's Nursery, Inc</t>
  </si>
  <si>
    <t>Casa Verde Farms</t>
  </si>
  <si>
    <t>Curaleaf Florida, LLC  - Miami</t>
  </si>
  <si>
    <t>Curaleaf Florida, LLC- Mt. Dora</t>
  </si>
  <si>
    <t>Curaleaf- New Jersey</t>
  </si>
  <si>
    <t>FLORIDA SPECIALTY FARMS, INC</t>
  </si>
  <si>
    <t>Island Tropical Foliage</t>
  </si>
  <si>
    <t>Jardines Mexico Nursery LLC</t>
  </si>
  <si>
    <t>Southern Organics</t>
  </si>
  <si>
    <t>Prides Corner Farms INC</t>
  </si>
  <si>
    <t>Darwin Alvarez</t>
  </si>
  <si>
    <t>Jaime Barrios</t>
  </si>
  <si>
    <t>Walfre Galdamez</t>
  </si>
  <si>
    <t>Jose Perez</t>
  </si>
  <si>
    <t>Continental Floral Greens (California)</t>
  </si>
  <si>
    <t>Continental North Carolina</t>
  </si>
  <si>
    <t>VIP DISTRIBUITOR, we need to have a Sales Representative just focused in this customer</t>
  </si>
  <si>
    <t>Focus on monthly visits during the year</t>
  </si>
  <si>
    <t>Fiocus on monthly visits during the year</t>
  </si>
  <si>
    <t>Sales person fully dedicated to the customer</t>
  </si>
  <si>
    <t>Post Sale Service</t>
  </si>
  <si>
    <t>Person dedicted to this segment</t>
  </si>
  <si>
    <t>Executive Turf &amp; Synergy Turf Supply</t>
  </si>
  <si>
    <t>First Choice Turf Supply LLC</t>
  </si>
  <si>
    <t>First Step Landscaping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</si>
</sst>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quot;$&quot;#,##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0" fontId="0" fillId="0" borderId="0" xfId="0" applyAlignment="1">
      <alignment horizontal="center"/>
    </xf>
    <xf numFmtId="0" fontId="1" fillId="0" borderId="0" xfId="0" applyFont="1"/>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vertical="top" wrapText="1"/>
    </xf>
    <xf numFmtId="165" fontId="0" fillId="0" borderId="0" xfId="0" applyNumberFormat="1" applyAlignment="1">
      <alignment horizontal="center" vertical="center"/>
    </xf>
    <xf numFmtId="4" fontId="0" fillId="0" borderId="0" xfId="0" applyNumberFormat="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wrapText="1"/>
    </xf>
    <xf numFmtId="165" fontId="2" fillId="0" borderId="0" xfId="1" applyNumberFormat="1" applyFont="1" applyFill="1" applyAlignment="1">
      <alignment horizontal="center" vertical="center"/>
    </xf>
    <xf numFmtId="164" fontId="2" fillId="0" borderId="0" xfId="2" applyNumberFormat="1" applyFont="1" applyFill="1" applyAlignment="1">
      <alignment horizontal="center" vertical="center"/>
    </xf>
    <xf numFmtId="165" fontId="3" fillId="0" borderId="0" xfId="0" applyNumberFormat="1" applyFont="1" applyAlignment="1">
      <alignment horizontal="center" vertical="center"/>
    </xf>
    <xf numFmtId="165" fontId="0" fillId="0" borderId="0" xfId="0" applyNumberFormat="1" applyAlignment="1">
      <alignment horizontal="center" vertical="center" wrapText="1"/>
    </xf>
    <xf numFmtId="165" fontId="3" fillId="0" borderId="0" xfId="0" applyNumberFormat="1" applyFont="1" applyAlignment="1">
      <alignment horizontal="center" vertical="center" wrapText="1"/>
    </xf>
    <xf numFmtId="0" fontId="0" fillId="0" borderId="0" xfId="0" applyAlignment="1">
      <alignment horizont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165" fontId="0" fillId="0" borderId="0" xfId="0" applyNumberFormat="1"/>
    <xf numFmtId="164" fontId="0" fillId="0" borderId="0" xfId="0" applyNumberFormat="1"/>
    <xf numFmtId="165" fontId="0" fillId="0" borderId="0" xfId="0" applyNumberFormat="1" applyAlignment="1">
      <alignment horizontal="center"/>
    </xf>
    <xf numFmtId="164" fontId="1" fillId="0" borderId="0" xfId="0" applyNumberFormat="1" applyFont="1" applyAlignment="1">
      <alignment horizontal="center" vertical="center"/>
    </xf>
    <xf numFmtId="165" fontId="1" fillId="0" borderId="0" xfId="0" applyNumberFormat="1" applyFont="1" applyAlignment="1">
      <alignment horizontal="center" vertical="center"/>
    </xf>
    <xf numFmtId="4" fontId="1" fillId="0" borderId="0" xfId="0" applyNumberFormat="1" applyFont="1" applyAlignment="1">
      <alignment horizontal="center" vertical="center"/>
    </xf>
    <xf numFmtId="0" fontId="0" fillId="0" borderId="0" xfId="0" applyAlignment="1">
      <alignment horizontal="left"/>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center" vertical="top"/>
    </xf>
    <xf numFmtId="0" fontId="0" fillId="2" borderId="0" xfId="0" applyFill="1" applyAlignment="1">
      <alignment horizontal="center"/>
    </xf>
  </cellXfs>
  <cellStyles count="3">
    <cellStyle name="Currency" xfId="1" builtinId="4"/>
    <cellStyle name="Normal" xfId="0" builtinId="0"/>
    <cellStyle name="Percent" xfId="2" builtinId="5"/>
  </cellStyles>
  <dxfs count="245">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dxf>
    <dxf>
      <font>
        <b/>
        <i val="0"/>
        <strike val="0"/>
        <condense val="0"/>
        <extend val="0"/>
        <outline val="0"/>
        <shadow val="0"/>
        <u val="none"/>
        <vertAlign val="baseline"/>
        <sz val="11"/>
        <color rgb="FFFF0000"/>
        <name val="Calibri"/>
        <family val="2"/>
        <scheme val="minor"/>
      </font>
      <numFmt numFmtId="165" formatCode="&quot;$&quot;#,##0"/>
      <alignment horizontal="center" vertical="center" textRotation="0" wrapText="0" indent="0" justifyLastLine="0" shrinkToFit="0" readingOrder="0"/>
    </dxf>
    <dxf>
      <font>
        <b/>
        <i val="0"/>
        <strike val="0"/>
        <condense val="0"/>
        <extend val="0"/>
        <outline val="0"/>
        <shadow val="0"/>
        <u val="none"/>
        <vertAlign val="baseline"/>
        <sz val="11"/>
        <color rgb="FFFF0000"/>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1" indent="0" justifyLastLine="0" shrinkToFit="0" readingOrder="0"/>
    </dxf>
    <dxf>
      <numFmt numFmtId="164" formatCode="0.0%"/>
      <fill>
        <patternFill patternType="none">
          <fgColor indexed="64"/>
          <bgColor indexed="65"/>
        </patternFill>
      </fill>
      <alignment horizontal="center" vertical="center" textRotation="0" wrapText="1"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dxf>
    <dxf>
      <numFmt numFmtId="165" formatCode="&quot;$&quot;#,##0"/>
      <fill>
        <patternFill patternType="none">
          <fgColor indexed="64"/>
          <bgColor indexed="65"/>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fill>
        <patternFill patternType="none">
          <fgColor indexed="64"/>
          <bgColor indexed="65"/>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fill>
        <patternFill patternType="none">
          <fgColor indexed="64"/>
          <bgColor indexed="65"/>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0"/>
      <fill>
        <patternFill patternType="none">
          <fgColor indexed="64"/>
          <bgColor indexed="65"/>
        </patternFill>
      </fill>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numFmt numFmtId="164" formatCode="0.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1" indent="0" justifyLastLine="0" shrinkToFit="0" readingOrder="0"/>
    </dxf>
    <dxf>
      <numFmt numFmtId="165" formatCode="&quot;$&quot;#,##0"/>
      <fill>
        <patternFill patternType="none">
          <fgColor indexed="64"/>
          <bgColor indexed="65"/>
        </patternFill>
      </fill>
      <alignment horizontal="center" vertical="center" textRotation="0" wrapText="1"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numFmt numFmtId="165" formatCode="&quot;$&quot;#,##0"/>
      <alignment horizontal="center" vertical="center" textRotation="0" wrapText="0" indent="0" justifyLastLine="0" shrinkToFit="0" readingOrder="0"/>
    </dxf>
    <dxf>
      <numFmt numFmtId="165" formatCode="&quot;$&quot;#,##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border outline="0">
        <top style="medium">
          <color indexed="64"/>
        </top>
      </border>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huck Kitchen" id="{4704B07F-81E8-49A4-B526-51FC58C2F81A}" userId="S::chuck@businessbetterments.com::813c9119-f1ba-4de4-a62b-4ef394264cb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D7FF42-95AB-420D-99FD-3E2DD8B5DC99}" name="Table1" displayName="Table1" ref="A4:DR60" totalsRowShown="0" headerRowDxfId="244" headerRowBorderDxfId="243" tableBorderDxfId="242">
  <autoFilter ref="A4:DR60" xr:uid="{93D7FF42-95AB-420D-99FD-3E2DD8B5DC99}"/>
  <sortState xmlns:xlrd2="http://schemas.microsoft.com/office/spreadsheetml/2017/richdata2" ref="A5:DR60">
    <sortCondition ref="B4:B60"/>
  </sortState>
  <tableColumns count="122">
    <tableColumn id="1" xr3:uid="{B4201E16-1C10-4470-9CAB-69E3CC73E35A}" name="Salesperson" dataDxfId="241" totalsRowDxfId="240"/>
    <tableColumn id="2" xr3:uid="{2199C433-DAB1-47CD-9594-8E660070621A}" name="Customer Name" dataDxfId="239" totalsRowDxfId="238"/>
    <tableColumn id="3" xr3:uid="{99B8E71F-E15C-4BC1-95B8-65FFB8BE0587}" name="2016 Sales" dataDxfId="237" totalsRowDxfId="236"/>
    <tableColumn id="4" xr3:uid="{0FF01741-6570-4947-A976-0C989F6B5E0D}" name="2017 Sales" dataDxfId="235" totalsRowDxfId="234"/>
    <tableColumn id="5" xr3:uid="{A2F26E8E-D5C1-4F82-BD54-97A842243A4D}" name="2018 Sales" dataDxfId="233" totalsRowDxfId="232"/>
    <tableColumn id="6" xr3:uid="{D4341B6F-6403-4FAB-9708-57C65A6BAD01}" name="2019 Sales" dataDxfId="231" totalsRowDxfId="230"/>
    <tableColumn id="7" xr3:uid="{81685253-B613-4781-96B4-E12336D24B46}" name="2020 Sales" dataDxfId="229" totalsRowDxfId="228"/>
    <tableColumn id="8" xr3:uid="{3D3684E8-6FBF-493B-8EE5-70F9BE7ADCD1}" name="2021 Sales" dataDxfId="227" totalsRowDxfId="226"/>
    <tableColumn id="9" xr3:uid="{2CA33035-889D-478C-B9DD-AE1582C19AB1}" name="2022 Sales" dataDxfId="225" totalsRowDxfId="224"/>
    <tableColumn id="10" xr3:uid="{8773D060-4279-4237-BC48-263D40A9CB25}" name="Current Year's Sales (Through 9 months)" dataDxfId="223" totalsRowDxfId="222"/>
    <tableColumn id="11" xr3:uid="{2A35AAD2-0E8D-4A9D-8EAD-62418B79D86D}" name="Current Year End Projected Sales" dataDxfId="221" totalsRowDxfId="220"/>
    <tableColumn id="12" xr3:uid="{569739C9-4C43-4757-8EE3-C44E65F837E0}" name="Jan Sales Forecast" dataDxfId="219" totalsRowDxfId="218"/>
    <tableColumn id="13" xr3:uid="{624DFE13-05A4-44DE-8D2F-02456AF3BF7E}" name="Jan Sales Target" dataDxfId="217" totalsRowDxfId="216"/>
    <tableColumn id="14" xr3:uid="{8633DDC9-78EA-4B26-85EA-28A10F2EE289}" name="Jan  GPP Forecast" dataDxfId="215" totalsRowDxfId="214"/>
    <tableColumn id="15" xr3:uid="{7DCB4C87-3910-417B-B108-537E9C89A7FA}" name="Jan GPD Forecast" dataDxfId="213" totalsRowDxfId="212" dataCellStyle="Currency"/>
    <tableColumn id="16" xr3:uid="{D6A1219B-DE31-4988-9B09-FEF4666CCE2C}" name="Jan GPP Target" dataDxfId="211" totalsRowDxfId="210"/>
    <tableColumn id="17" xr3:uid="{F04AAC73-DA08-443A-BA3B-66B8036CE241}" name="JAN GPD Target" dataDxfId="209" totalsRowDxfId="208"/>
    <tableColumn id="18" xr3:uid="{7898FC41-197D-4BA9-8605-C21178A593F5}" name="Jan  Calls Forecast" dataDxfId="207" totalsRowDxfId="206"/>
    <tableColumn id="19" xr3:uid="{0ACB6448-3A0A-49E4-B0C5-E5918D3A5AC8}" name="Jan Calls Target" dataDxfId="205" totalsRowDxfId="204"/>
    <tableColumn id="20" xr3:uid="{BA41EFB2-FA0D-4BE3-9123-1D3A1F122B9F}" name="Feb Sales Forecast" dataDxfId="203" totalsRowDxfId="202"/>
    <tableColumn id="21" xr3:uid="{1DA24662-E85C-40F9-AB55-9275D4AFAD09}" name="Feb Sales Target" dataDxfId="201" totalsRowDxfId="200"/>
    <tableColumn id="22" xr3:uid="{E0FFD18D-EDF1-4364-A531-6049AC12DA38}" name="Feb GPP Forecast" dataDxfId="199" totalsRowDxfId="198"/>
    <tableColumn id="23" xr3:uid="{122AF18C-885A-4028-BAAE-67A73AF3DDD7}" name="Feb GPD Forecast" dataDxfId="197" totalsRowDxfId="196"/>
    <tableColumn id="24" xr3:uid="{A4FEA7CF-E1F4-498C-8791-772A2F615802}" name="Feb GPP Target" dataDxfId="195" totalsRowDxfId="194"/>
    <tableColumn id="25" xr3:uid="{4BC439C9-9E59-4210-931D-B0B9ABCEC07F}" name="Feb GPD Target" dataDxfId="193" totalsRowDxfId="192"/>
    <tableColumn id="26" xr3:uid="{45F614DC-3D95-4D3B-B0B5-A0260596B2FA}" name="Feb  Calls Forecast" dataDxfId="191" totalsRowDxfId="190"/>
    <tableColumn id="27" xr3:uid="{A6E8E265-1177-4E69-9A4B-5061355C656E}" name="Feb Calls Target" dataDxfId="189" totalsRowDxfId="188"/>
    <tableColumn id="28" xr3:uid="{D9820A99-BD1E-4936-B26C-3ECDB6F360CE}" name="Mar Sales Forecast" dataDxfId="187" totalsRowDxfId="186"/>
    <tableColumn id="29" xr3:uid="{8996DBC6-17F6-4348-B791-76287EC110FA}" name="Mar Sales Target" dataDxfId="185" totalsRowDxfId="184"/>
    <tableColumn id="30" xr3:uid="{832D7D58-2824-461D-B10E-6965873CE5CF}" name="Mar GPP Forecast" dataDxfId="183" totalsRowDxfId="182"/>
    <tableColumn id="31" xr3:uid="{72A1D9CE-B6AF-4293-B98E-1B0013723E0D}" name="Mar GPD Forecast" dataDxfId="181" totalsRowDxfId="180"/>
    <tableColumn id="32" xr3:uid="{3E62A7A6-4827-4593-9A85-35FE4E4A5DD3}" name="Mar GPP Target" dataDxfId="179" totalsRowDxfId="178"/>
    <tableColumn id="33" xr3:uid="{7D38F309-B49C-4419-BBBE-C3759825C407}" name="Mar GPD Target" dataDxfId="177" totalsRowDxfId="176"/>
    <tableColumn id="34" xr3:uid="{F23FB841-B0AD-4BEC-B74D-AFDB1A33AB01}" name="Mar Calls Forecast" dataDxfId="175" totalsRowDxfId="174"/>
    <tableColumn id="35" xr3:uid="{AE0619EA-0A4D-4047-AA0F-B13B6A80B257}" name="Mar Calls Target" dataDxfId="173" totalsRowDxfId="172"/>
    <tableColumn id="36" xr3:uid="{B569779D-9F09-4C50-9370-00EEB5C7E818}" name="Apr Sales Forecast" dataDxfId="171" totalsRowDxfId="170"/>
    <tableColumn id="37" xr3:uid="{9E47AD70-B1A9-4C2D-868B-9E68947BAA4B}" name="Apr Sales Target" dataDxfId="169" totalsRowDxfId="168"/>
    <tableColumn id="38" xr3:uid="{A550DA41-DB3E-4A33-831D-4FE3EF555100}" name="April GPP Forecast" dataDxfId="167" totalsRowDxfId="166"/>
    <tableColumn id="39" xr3:uid="{143B4E9A-7848-4A2E-8F3D-3B897747BC1F}" name="April GPD Forecast" dataDxfId="165" totalsRowDxfId="164"/>
    <tableColumn id="40" xr3:uid="{C42669C1-7756-4641-85D3-D24620745F1D}" name="April GPP Target" dataDxfId="163" totalsRowDxfId="162"/>
    <tableColumn id="41" xr3:uid="{15CD23BB-2FEE-4907-AD3F-BAAC3C2CCDF3}" name="April GPD Target" dataDxfId="161" totalsRowDxfId="160"/>
    <tableColumn id="42" xr3:uid="{A30F2CEE-291A-4241-8B2A-3C7842E0AA41}" name="Apr Calls Forecast" dataDxfId="159" totalsRowDxfId="158"/>
    <tableColumn id="43" xr3:uid="{E053B9CF-D411-4DE5-A121-D6A4DBAA0B85}" name="Apr Calls Target" dataDxfId="157" totalsRowDxfId="156"/>
    <tableColumn id="44" xr3:uid="{AEEBC56F-43D6-4C06-AFCB-38C9AF6ABCAE}" name="May Sales Forecast" dataDxfId="155" totalsRowDxfId="154"/>
    <tableColumn id="45" xr3:uid="{174F91F3-46CD-44C3-B885-E654533EAC9B}" name="May Sales Target" dataDxfId="153" totalsRowDxfId="152"/>
    <tableColumn id="46" xr3:uid="{D8E9675D-92C4-4C39-A953-214B34549274}" name="May GPP Forecast" dataDxfId="151" totalsRowDxfId="150"/>
    <tableColumn id="47" xr3:uid="{FF2AA55D-FD7C-4F30-B5C7-381F2C10509D}" name="May GPD Forecast" dataDxfId="149" totalsRowDxfId="148"/>
    <tableColumn id="48" xr3:uid="{D4F24BAF-FAB1-4EE2-A255-2D792B1A7141}" name="May GPP Target" dataDxfId="147" totalsRowDxfId="146"/>
    <tableColumn id="49" xr3:uid="{10E956C9-13C3-42E4-B29E-8076074434B3}" name="May GPD Target" dataDxfId="145" totalsRowDxfId="144"/>
    <tableColumn id="50" xr3:uid="{7808F3DA-A83E-4F2C-A44C-5E115FE7608C}" name="May Calls Forecast" dataDxfId="143" totalsRowDxfId="142"/>
    <tableColumn id="51" xr3:uid="{15B8B0A5-98AC-43FA-99CD-D780EF47D18C}" name="May Calls Target" dataDxfId="141" totalsRowDxfId="140"/>
    <tableColumn id="52" xr3:uid="{C2CADF49-CE49-4D56-942A-D477DCDAE20F}" name="June Sales Forecast" dataDxfId="139" totalsRowDxfId="138"/>
    <tableColumn id="53" xr3:uid="{D699417D-FD9E-43FE-9F3C-D98F11F757A5}" name="June Sales Target" dataDxfId="137" totalsRowDxfId="136"/>
    <tableColumn id="54" xr3:uid="{DC393133-BF19-4999-B211-EBBC1307B2DA}" name="June GPP Forecast" dataDxfId="135" totalsRowDxfId="134"/>
    <tableColumn id="55" xr3:uid="{12493673-1B9B-4375-BBC9-BA000C67DD79}" name="June GPD Forecast" dataDxfId="133" totalsRowDxfId="132"/>
    <tableColumn id="56" xr3:uid="{A5B1776E-024B-46F1-96D0-C4C6FD5C85E0}" name="June GPP Target" dataDxfId="131" totalsRowDxfId="130"/>
    <tableColumn id="57" xr3:uid="{202AE7E8-2428-4644-928C-714603F75D55}" name="June GPD Target" dataDxfId="129" totalsRowDxfId="128"/>
    <tableColumn id="58" xr3:uid="{D69CCDE0-D864-4124-BB21-A50F22DE4D7E}" name="June Calls Forecast" dataDxfId="127" totalsRowDxfId="126"/>
    <tableColumn id="59" xr3:uid="{34365A2E-80EB-4132-BDF2-8B29290F0911}" name="June Calls Target" dataDxfId="125" totalsRowDxfId="124"/>
    <tableColumn id="60" xr3:uid="{D82816A3-4526-4E39-B4BD-F644DDBC50AE}" name="July Sales Forecast" dataDxfId="123" totalsRowDxfId="122"/>
    <tableColumn id="61" xr3:uid="{E2F4A29D-24AD-4BBE-9A68-3ECC3C78A995}" name="July Sales Target" dataDxfId="121" totalsRowDxfId="120"/>
    <tableColumn id="62" xr3:uid="{2645049A-8471-4466-997F-9A1970D5B37F}" name="July GPP Forecast" dataDxfId="119" totalsRowDxfId="118"/>
    <tableColumn id="63" xr3:uid="{407904D7-177C-4A52-AD4F-98EB2EE5F80E}" name="July GPD Forecast" dataDxfId="117" totalsRowDxfId="116"/>
    <tableColumn id="64" xr3:uid="{C246B0C0-8BD1-4507-8AF7-4F6B83794A2F}" name="July GPP Target" dataDxfId="115" totalsRowDxfId="114"/>
    <tableColumn id="65" xr3:uid="{B98A3F7C-8FE1-4DAD-B5AB-765A462E41A0}" name="July GPD Target" dataDxfId="113" totalsRowDxfId="112"/>
    <tableColumn id="66" xr3:uid="{33862910-ED13-4772-BE2C-DA1A88BFBFCE}" name="July Calls Forecast" dataDxfId="111" totalsRowDxfId="110"/>
    <tableColumn id="67" xr3:uid="{7F889E61-ACEE-4CC6-954E-0D4109273C23}" name="July Calls Target" dataDxfId="109" totalsRowDxfId="108"/>
    <tableColumn id="68" xr3:uid="{FC5B3DA3-8D33-4DA3-8EEA-49CA6E12FB2E}" name="Aug Sales Forecast" dataDxfId="107" totalsRowDxfId="106"/>
    <tableColumn id="69" xr3:uid="{26533816-7B83-4ED1-B426-AB42254F84A5}" name="Aug Sales Target" dataDxfId="105" totalsRowDxfId="104"/>
    <tableColumn id="70" xr3:uid="{1B2289D7-3ABB-458D-A38C-13522F3807A0}" name="Aug GPP Forecast" dataDxfId="103" totalsRowDxfId="102"/>
    <tableColumn id="71" xr3:uid="{7E2F62BB-9A7F-401A-B21B-DF19743C4153}" name="Aug GPD Forecast" dataDxfId="101" totalsRowDxfId="100"/>
    <tableColumn id="72" xr3:uid="{E534A642-05A3-4A45-985E-C657808E667A}" name="Aug GPP Target" dataDxfId="99" totalsRowDxfId="98"/>
    <tableColumn id="73" xr3:uid="{EAD6B8DC-E74D-4615-9F50-88F7B5056DB7}" name="Aug GPD Target" dataDxfId="97" totalsRowDxfId="96"/>
    <tableColumn id="74" xr3:uid="{F540FE2E-DC42-4B33-A183-7D08C621FB29}" name="Aug Calls Forecast" dataDxfId="95" totalsRowDxfId="94"/>
    <tableColumn id="75" xr3:uid="{3A3CD72C-DEA1-48DB-925E-281D831B40AA}" name="Aug Calls Target" dataDxfId="93" totalsRowDxfId="92"/>
    <tableColumn id="76" xr3:uid="{7B46C8D8-7F28-4A4E-9DD3-EDE2C89EC9A9}" name="Sept Sales Forecast" dataDxfId="91" totalsRowDxfId="90"/>
    <tableColumn id="77" xr3:uid="{6870E3CA-DCA9-48F7-9328-622A6994589D}" name="Sept Sales Target" dataDxfId="89" totalsRowDxfId="88"/>
    <tableColumn id="78" xr3:uid="{DA2BDD16-D74D-45CE-8230-CB43C9393AE5}" name="Sept GPP Forecast" dataDxfId="87" totalsRowDxfId="86"/>
    <tableColumn id="79" xr3:uid="{267E5830-9A4C-49EE-A63F-D7EA6945B1E2}" name="Sept GPD Forecast" dataDxfId="85" totalsRowDxfId="84"/>
    <tableColumn id="80" xr3:uid="{31A454E3-0F1D-403C-A008-22B1BF6FE1E7}" name="Sept GPP Target" dataDxfId="83" totalsRowDxfId="82"/>
    <tableColumn id="81" xr3:uid="{836AF543-778E-49FB-A5D5-0D971842828D}" name="Sept GPD Target" dataDxfId="81" totalsRowDxfId="80"/>
    <tableColumn id="82" xr3:uid="{44D81BDB-BADB-45A4-9BA2-4CA25C202C74}" name="Sept Calls Forecast" dataDxfId="79" totalsRowDxfId="78"/>
    <tableColumn id="83" xr3:uid="{8B9AC1E2-3F79-4F51-93F2-9BA81BC8E91A}" name="Sept Calls Target" dataDxfId="77" totalsRowDxfId="76"/>
    <tableColumn id="84" xr3:uid="{B053D639-2463-4706-A430-2A187EFA4B47}" name="Oct Sales Forecast" dataDxfId="75" totalsRowDxfId="74"/>
    <tableColumn id="85" xr3:uid="{743524C8-0CA9-4E55-8B2E-5A90DB41B062}" name="Oct Sales Target" dataDxfId="73" totalsRowDxfId="72"/>
    <tableColumn id="86" xr3:uid="{7CDED5EE-1ED7-41E0-940D-5F3C442ED9AA}" name="Oct GPP Forecast" dataDxfId="71" totalsRowDxfId="70"/>
    <tableColumn id="87" xr3:uid="{61075B15-BBBC-42FE-A9EF-19E5793DBEAB}" name="Oct GPD Forecast" dataDxfId="69" totalsRowDxfId="68"/>
    <tableColumn id="88" xr3:uid="{DEF47CE6-E1C3-4349-80D1-4D8F0570E5CB}" name="Oct GPP Target" dataDxfId="67" totalsRowDxfId="66"/>
    <tableColumn id="89" xr3:uid="{7A4952EB-97C1-4873-AA0C-EC8D970EF99C}" name="Oct GPD Target" dataDxfId="65" totalsRowDxfId="64" dataCellStyle="Currency"/>
    <tableColumn id="90" xr3:uid="{686C64B2-7D11-4BCA-AB7A-91B603DEFAA5}" name="Oct Calls Forecast" dataDxfId="63" totalsRowDxfId="62"/>
    <tableColumn id="91" xr3:uid="{10509C04-0AFC-4814-980B-8554D8AF67C3}" name="Oct Calls Target" dataDxfId="61" totalsRowDxfId="60"/>
    <tableColumn id="92" xr3:uid="{6F09844F-3A5F-497D-807E-1B517DA6A1B2}" name="Nov Sales Forecast" dataDxfId="59" totalsRowDxfId="58"/>
    <tableColumn id="93" xr3:uid="{1438BBB8-E6DD-4F7C-9FA0-DBADFE6E0240}" name="Nov Sales Target" dataDxfId="57" totalsRowDxfId="56"/>
    <tableColumn id="94" xr3:uid="{0EB7D9F4-B7A2-479E-9956-5513207893E1}" name="Nov GPP Forecast" dataDxfId="55" totalsRowDxfId="54"/>
    <tableColumn id="95" xr3:uid="{0C82476F-4DE4-4063-9646-91536EEC463D}" name="Nov GPD Forecast" dataDxfId="53" totalsRowDxfId="52" dataCellStyle="Currency"/>
    <tableColumn id="96" xr3:uid="{2C276F4F-B00C-4716-B8A4-A008BEE3D450}" name="Nov GPP Target" dataDxfId="51" totalsRowDxfId="50"/>
    <tableColumn id="97" xr3:uid="{2F85AAB8-0BAA-4E82-B5B2-6A3428912350}" name="Nov GPD Target" dataDxfId="49" totalsRowDxfId="48" dataCellStyle="Currency"/>
    <tableColumn id="98" xr3:uid="{2DCA417B-EE37-46DF-B4C6-4B2A854FED82}" name="Nov Calls Forecast" dataDxfId="47" totalsRowDxfId="46"/>
    <tableColumn id="99" xr3:uid="{7FCD9F50-31CF-4560-9FF5-9C42D7086923}" name="Nov Calls Target" dataDxfId="45" totalsRowDxfId="44"/>
    <tableColumn id="100" xr3:uid="{FC429DD3-CC64-4789-924D-C1DC3A2477F6}" name="Dec Sales Forecast" dataDxfId="43" totalsRowDxfId="42"/>
    <tableColumn id="101" xr3:uid="{72B097DE-C465-4DE3-8B4A-988C61A0FAC4}" name="Dec Sales Target" dataDxfId="41" totalsRowDxfId="40"/>
    <tableColumn id="102" xr3:uid="{90137F3E-D0BE-47F5-997B-BF60E8657B62}" name="Dec GPP Forecast" dataDxfId="39" totalsRowDxfId="38"/>
    <tableColumn id="103" xr3:uid="{F6EFAB24-8499-42B4-8F88-E707E63EDB78}" name="Dec GPD Forecast" dataDxfId="37" totalsRowDxfId="36" dataCellStyle="Currency"/>
    <tableColumn id="104" xr3:uid="{1DD77273-A3FB-4E17-AF87-007DA95D7BE3}" name="Dec GPP Target" dataDxfId="35" totalsRowDxfId="34"/>
    <tableColumn id="105" xr3:uid="{15B7AC54-80C4-487F-A681-6F00E11D1677}" name="Dec GPD Target" dataDxfId="33" totalsRowDxfId="32"/>
    <tableColumn id="106" xr3:uid="{0106A90E-BA7C-4726-B7A7-FDA7266158FC}" name="Dec Calls Forecast" dataDxfId="31" totalsRowDxfId="30"/>
    <tableColumn id="107" xr3:uid="{DF69D606-1DBA-469A-A985-A6710E0BE10C}" name="Dec Calls Target" dataDxfId="29" totalsRowDxfId="28"/>
    <tableColumn id="108" xr3:uid="{A2F2F651-0275-41C5-B612-3FC71CEF4160}" name="Total Sales Forecast" dataDxfId="27" totalsRowDxfId="26">
      <calculatedColumnFormula>SUM(L5,T5,AB5,AJ5,AR5,AZ5,BH5,BP5,BX5,CF5,CN5,CV5)</calculatedColumnFormula>
    </tableColumn>
    <tableColumn id="109" xr3:uid="{3F76243E-89CD-4C4B-8004-8B82E7FFC51F}" name="Total GPD Forecast" dataDxfId="25" totalsRowDxfId="24"/>
    <tableColumn id="110" xr3:uid="{F65AF94D-226C-4065-B2F4-302FE42BA142}" name="Total GPP Forecast" dataDxfId="23" totalsRowDxfId="22">
      <calculatedColumnFormula>DE5/DD5</calculatedColumnFormula>
    </tableColumn>
    <tableColumn id="111" xr3:uid="{49F5C98A-7CD8-47BE-B906-17361652B2FC}" name="Total Sales Target" dataDxfId="21" totalsRowDxfId="20"/>
    <tableColumn id="112" xr3:uid="{0FE7CCF7-27B0-4740-9DAC-0153AD79CD4B}" name="Total GPD Target" dataDxfId="19" totalsRowDxfId="18"/>
    <tableColumn id="113" xr3:uid="{EB9EAA8B-5F55-400B-99EB-128804D013EE}" name="Total GPP Target" dataDxfId="17" totalsRowDxfId="16">
      <calculatedColumnFormula>DH5/DG5</calculatedColumnFormula>
    </tableColumn>
    <tableColumn id="114" xr3:uid="{FBC2B4EB-F639-469E-899F-28D99A5624FE}" name="Total Calls Forecast" dataDxfId="15" totalsRowDxfId="14"/>
    <tableColumn id="115" xr3:uid="{3E779FFC-4F16-4E8E-B47A-BB8D90F8F893}" name="Total Calls Target" dataDxfId="13" totalsRowDxfId="12"/>
    <tableColumn id="116" xr3:uid="{797774C4-7D35-40EF-935B-6FA192281AB6}" name="Strategy" dataDxfId="0"/>
    <tableColumn id="117" xr3:uid="{FCC0E6ED-DAEA-48EB-9D24-AE90ED7C24B0}" name="Potential" dataDxfId="11" totalsRowDxfId="10"/>
    <tableColumn id="118" xr3:uid="{39946FF6-F8B5-43B7-8D24-080882E4250E}" name="Current Opportunity" dataDxfId="9" totalsRowDxfId="8"/>
    <tableColumn id="119" xr3:uid="{DF7EA522-EA6D-465A-BB8B-3B1581B86A1F}" name="Future Opportunity" dataDxfId="7" totalsRowDxfId="6"/>
    <tableColumn id="120" xr3:uid="{34C8BC73-9F3A-4267-B12E-3DAFDA15BCDD}" name="Market Share" dataDxfId="5" totalsRowDxfId="4">
      <calculatedColumnFormula>DD5/DM5</calculatedColumnFormula>
    </tableColumn>
    <tableColumn id="121" xr3:uid="{B4DCF1BC-3B3F-4B06-AA69-CE37B5049545}" name="At Risk" dataDxfId="3" totalsRowDxfId="2"/>
    <tableColumn id="122" xr3:uid="{6574275D-50D8-4C13-B77A-7D199E13B968}" name="Risk Explanation" dataDxfId="1"/>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 dT="2024-04-19T12:54:36.95" personId="{4704B07F-81E8-49A4-B526-51FC58C2F81A}" id="{B724D037-8999-404D-9D1D-4E502E02C52F}">
    <text>Customer will decide when to run their report and dates. In this example, these values are through  3 qtrs/9 mos.</text>
  </threadedComment>
  <threadedComment ref="K4" dT="2024-01-28T17:28:23.37" personId="{4704B07F-81E8-49A4-B526-51FC58C2F81A}" id="{8C6CBCFB-C439-419C-8432-2EA33AADDC0A}">
    <text>The equation for this field will be the Current year's sales divided by the number of months, times 12
. While this file does not list it, we should be looking to add fields that show firm open orders for balance of year, blanket (not firm yet) orders for balance of year and then show YE based on ACTUAL YTD + Firm Orders for balance of year and perhaps another YE value to include these and add in an estimated value in current open blanket orders that is expected to ship by YE.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E2FF-9156-41B2-8008-875933BCFEF1}">
  <dimension ref="A1:DR62"/>
  <sheetViews>
    <sheetView tabSelected="1" zoomScale="60" zoomScaleNormal="60" workbookViewId="0">
      <pane xSplit="2" ySplit="4" topLeftCell="DG28" activePane="bottomRight" state="frozen"/>
      <selection pane="topRight" activeCell="C1" sqref="C1"/>
      <selection pane="bottomLeft" activeCell="A5" sqref="A5"/>
      <selection pane="bottomRight" activeCell="B47" sqref="B47"/>
    </sheetView>
  </sheetViews>
  <sheetFormatPr defaultRowHeight="14.4" x14ac:dyDescent="0.3"/>
  <cols>
    <col min="1" max="1" width="15.44140625" customWidth="1"/>
    <col min="2" max="2" width="37" style="1" bestFit="1" customWidth="1"/>
    <col min="3" max="9" width="12.33203125" style="1" customWidth="1"/>
    <col min="10" max="10" width="37.88671875" customWidth="1"/>
    <col min="11" max="11" width="31.5546875" customWidth="1"/>
    <col min="12" max="12" width="18.33203125" customWidth="1"/>
    <col min="13" max="13" width="14.33203125" customWidth="1"/>
    <col min="14" max="14" width="17.88671875" customWidth="1"/>
    <col min="15" max="15" width="13.33203125" customWidth="1"/>
    <col min="16" max="17" width="13.5546875" customWidth="1"/>
    <col min="18" max="18" width="18.33203125" customWidth="1"/>
    <col min="19" max="19" width="13.88671875" customWidth="1"/>
    <col min="20" max="20" width="18.6640625" customWidth="1"/>
    <col min="21" max="21" width="17" customWidth="1"/>
    <col min="22" max="22" width="17.88671875" customWidth="1"/>
    <col min="23" max="23" width="14.109375" customWidth="1"/>
    <col min="24" max="25" width="13.6640625" customWidth="1"/>
    <col min="26" max="26" width="18.6640625" customWidth="1"/>
    <col min="27" max="27" width="14.109375" customWidth="1"/>
    <col min="28" max="28" width="19" customWidth="1"/>
    <col min="29" max="29" width="17.33203125" customWidth="1"/>
    <col min="30" max="30" width="20.33203125" customWidth="1"/>
    <col min="31" max="33" width="19.33203125" customWidth="1"/>
    <col min="34" max="34" width="20.6640625" customWidth="1"/>
    <col min="35" max="35" width="19.6640625" customWidth="1"/>
    <col min="36" max="36" width="20.6640625" customWidth="1"/>
    <col min="37" max="37" width="20.109375" customWidth="1"/>
    <col min="38" max="38" width="20.6640625" customWidth="1"/>
    <col min="39" max="41" width="20.44140625" customWidth="1"/>
    <col min="42" max="42" width="20.33203125" customWidth="1"/>
    <col min="43" max="43" width="19.5546875" customWidth="1"/>
    <col min="44" max="44" width="21.44140625" customWidth="1"/>
    <col min="45" max="46" width="20.6640625" customWidth="1"/>
    <col min="47" max="49" width="19.5546875" customWidth="1"/>
    <col min="50" max="50" width="21" customWidth="1"/>
    <col min="51" max="51" width="20.109375" customWidth="1"/>
    <col min="52" max="52" width="21.6640625" customWidth="1"/>
    <col min="53" max="53" width="21.5546875" customWidth="1"/>
    <col min="54" max="54" width="20.6640625" customWidth="1"/>
    <col min="55" max="57" width="20.44140625" customWidth="1"/>
    <col min="58" max="58" width="21.109375" customWidth="1"/>
    <col min="59" max="59" width="21" customWidth="1"/>
    <col min="60" max="61" width="20.88671875" customWidth="1"/>
    <col min="62" max="62" width="20.109375" customWidth="1"/>
    <col min="63" max="65" width="19.6640625" customWidth="1"/>
    <col min="66" max="66" width="20.44140625" customWidth="1"/>
    <col min="67" max="67" width="20.33203125" customWidth="1"/>
    <col min="68" max="68" width="21" customWidth="1"/>
    <col min="69" max="69" width="20.6640625" customWidth="1"/>
    <col min="70" max="70" width="20.33203125" customWidth="1"/>
    <col min="71" max="73" width="19.5546875" customWidth="1"/>
    <col min="74" max="74" width="20.5546875" customWidth="1"/>
    <col min="75" max="75" width="20.109375" customWidth="1"/>
    <col min="76" max="76" width="21.44140625" customWidth="1"/>
    <col min="77" max="77" width="21.33203125" customWidth="1"/>
    <col min="78" max="78" width="20.6640625" customWidth="1"/>
    <col min="79" max="81" width="20.109375" customWidth="1"/>
    <col min="82" max="82" width="21" customWidth="1"/>
    <col min="83" max="83" width="20.6640625" customWidth="1"/>
    <col min="84" max="84" width="20.5546875" bestFit="1" customWidth="1"/>
    <col min="85" max="85" width="19.88671875" bestFit="1" customWidth="1"/>
    <col min="86" max="86" width="19.6640625" bestFit="1" customWidth="1"/>
    <col min="87" max="87" width="18.6640625" customWidth="1"/>
    <col min="88" max="88" width="18.6640625" bestFit="1" customWidth="1"/>
    <col min="89" max="89" width="18.6640625" customWidth="1"/>
    <col min="90" max="90" width="20.109375" bestFit="1" customWidth="1"/>
    <col min="91" max="91" width="19.33203125" customWidth="1"/>
    <col min="92" max="92" width="21.109375" bestFit="1" customWidth="1"/>
    <col min="93" max="94" width="20.33203125" bestFit="1" customWidth="1"/>
    <col min="95" max="95" width="19.33203125" customWidth="1"/>
    <col min="96" max="96" width="19.33203125" bestFit="1" customWidth="1"/>
    <col min="97" max="97" width="19.33203125" customWidth="1"/>
    <col min="98" max="98" width="20.6640625" bestFit="1" customWidth="1"/>
    <col min="99" max="99" width="19.6640625" customWidth="1"/>
    <col min="100" max="100" width="20.6640625" bestFit="1" customWidth="1"/>
    <col min="101" max="101" width="20.33203125" bestFit="1" customWidth="1"/>
    <col min="102" max="102" width="20" bestFit="1" customWidth="1"/>
    <col min="103" max="103" width="19.33203125" customWidth="1"/>
    <col min="104" max="104" width="19.33203125" bestFit="1" customWidth="1"/>
    <col min="105" max="105" width="19.33203125" customWidth="1"/>
    <col min="106" max="106" width="20.33203125" bestFit="1" customWidth="1"/>
    <col min="107" max="107" width="12.33203125" customWidth="1"/>
    <col min="108" max="108" width="23.6640625" bestFit="1" customWidth="1"/>
    <col min="109" max="110" width="22.6640625" bestFit="1" customWidth="1"/>
    <col min="111" max="111" width="23.6640625" bestFit="1" customWidth="1"/>
    <col min="112" max="113" width="22.6640625" bestFit="1" customWidth="1"/>
    <col min="114" max="115" width="23.33203125" bestFit="1" customWidth="1"/>
    <col min="116" max="116" width="52.109375" style="28" bestFit="1" customWidth="1"/>
    <col min="117" max="117" width="19" bestFit="1" customWidth="1"/>
    <col min="118" max="118" width="21.109375" customWidth="1"/>
    <col min="119" max="119" width="20.109375" customWidth="1"/>
    <col min="120" max="120" width="14.6640625" customWidth="1"/>
    <col min="121" max="121" width="12.6640625" customWidth="1"/>
    <col min="122" max="122" width="38.33203125" customWidth="1"/>
  </cols>
  <sheetData>
    <row r="1" spans="1:122" x14ac:dyDescent="0.3">
      <c r="B1" s="4" t="s">
        <v>0</v>
      </c>
    </row>
    <row r="2" spans="1:122" x14ac:dyDescent="0.3">
      <c r="B2" s="4">
        <v>2025</v>
      </c>
    </row>
    <row r="3" spans="1:122" x14ac:dyDescent="0.3">
      <c r="L3">
        <v>12</v>
      </c>
    </row>
    <row r="4" spans="1:122" s="6" customFormat="1" ht="31.95" customHeight="1" thickBot="1" x14ac:dyDescent="0.35">
      <c r="A4" s="19" t="s">
        <v>1</v>
      </c>
      <c r="B4" s="20" t="s">
        <v>2</v>
      </c>
      <c r="C4" s="20" t="s">
        <v>3</v>
      </c>
      <c r="D4" s="20" t="s">
        <v>4</v>
      </c>
      <c r="E4" s="20" t="s">
        <v>5</v>
      </c>
      <c r="F4" s="20" t="s">
        <v>6</v>
      </c>
      <c r="G4" s="20" t="s">
        <v>7</v>
      </c>
      <c r="H4" s="20" t="s">
        <v>8</v>
      </c>
      <c r="I4" s="20" t="s">
        <v>9</v>
      </c>
      <c r="J4" s="20" t="s">
        <v>10</v>
      </c>
      <c r="K4" s="20" t="s">
        <v>11</v>
      </c>
      <c r="L4" s="20" t="s">
        <v>12</v>
      </c>
      <c r="M4" s="20" t="s">
        <v>13</v>
      </c>
      <c r="N4" s="20" t="s">
        <v>14</v>
      </c>
      <c r="O4" s="20" t="s">
        <v>15</v>
      </c>
      <c r="P4" s="20" t="s">
        <v>16</v>
      </c>
      <c r="Q4" s="20" t="s">
        <v>17</v>
      </c>
      <c r="R4" s="20" t="s">
        <v>18</v>
      </c>
      <c r="S4" s="20" t="s">
        <v>19</v>
      </c>
      <c r="T4" s="20" t="s">
        <v>20</v>
      </c>
      <c r="U4" s="20" t="s">
        <v>21</v>
      </c>
      <c r="V4" s="20" t="s">
        <v>22</v>
      </c>
      <c r="W4" s="20" t="s">
        <v>23</v>
      </c>
      <c r="X4" s="20" t="s">
        <v>24</v>
      </c>
      <c r="Y4" s="20" t="s">
        <v>25</v>
      </c>
      <c r="Z4" s="20" t="s">
        <v>26</v>
      </c>
      <c r="AA4" s="20" t="s">
        <v>27</v>
      </c>
      <c r="AB4" s="20" t="s">
        <v>28</v>
      </c>
      <c r="AC4" s="20" t="s">
        <v>29</v>
      </c>
      <c r="AD4" s="20" t="s">
        <v>30</v>
      </c>
      <c r="AE4" s="20" t="s">
        <v>31</v>
      </c>
      <c r="AF4" s="20" t="s">
        <v>32</v>
      </c>
      <c r="AG4" s="20" t="s">
        <v>33</v>
      </c>
      <c r="AH4" s="20" t="s">
        <v>34</v>
      </c>
      <c r="AI4" s="20" t="s">
        <v>35</v>
      </c>
      <c r="AJ4" s="20" t="s">
        <v>36</v>
      </c>
      <c r="AK4" s="20" t="s">
        <v>37</v>
      </c>
      <c r="AL4" s="20" t="s">
        <v>38</v>
      </c>
      <c r="AM4" s="20" t="s">
        <v>39</v>
      </c>
      <c r="AN4" s="20" t="s">
        <v>40</v>
      </c>
      <c r="AO4" s="20" t="s">
        <v>41</v>
      </c>
      <c r="AP4" s="20" t="s">
        <v>42</v>
      </c>
      <c r="AQ4" s="20" t="s">
        <v>43</v>
      </c>
      <c r="AR4" s="20" t="s">
        <v>44</v>
      </c>
      <c r="AS4" s="20" t="s">
        <v>45</v>
      </c>
      <c r="AT4" s="20" t="s">
        <v>46</v>
      </c>
      <c r="AU4" s="20" t="s">
        <v>47</v>
      </c>
      <c r="AV4" s="20" t="s">
        <v>48</v>
      </c>
      <c r="AW4" s="20" t="s">
        <v>49</v>
      </c>
      <c r="AX4" s="20" t="s">
        <v>50</v>
      </c>
      <c r="AY4" s="20" t="s">
        <v>51</v>
      </c>
      <c r="AZ4" s="20" t="s">
        <v>52</v>
      </c>
      <c r="BA4" s="20" t="s">
        <v>53</v>
      </c>
      <c r="BB4" s="20" t="s">
        <v>54</v>
      </c>
      <c r="BC4" s="20" t="s">
        <v>55</v>
      </c>
      <c r="BD4" s="20" t="s">
        <v>56</v>
      </c>
      <c r="BE4" s="20" t="s">
        <v>57</v>
      </c>
      <c r="BF4" s="20" t="s">
        <v>58</v>
      </c>
      <c r="BG4" s="20" t="s">
        <v>59</v>
      </c>
      <c r="BH4" s="20" t="s">
        <v>60</v>
      </c>
      <c r="BI4" s="20" t="s">
        <v>61</v>
      </c>
      <c r="BJ4" s="20" t="s">
        <v>62</v>
      </c>
      <c r="BK4" s="20" t="s">
        <v>63</v>
      </c>
      <c r="BL4" s="20" t="s">
        <v>64</v>
      </c>
      <c r="BM4" s="20" t="s">
        <v>65</v>
      </c>
      <c r="BN4" s="20" t="s">
        <v>66</v>
      </c>
      <c r="BO4" s="20" t="s">
        <v>67</v>
      </c>
      <c r="BP4" s="20" t="s">
        <v>68</v>
      </c>
      <c r="BQ4" s="20" t="s">
        <v>69</v>
      </c>
      <c r="BR4" s="20" t="s">
        <v>70</v>
      </c>
      <c r="BS4" s="20" t="s">
        <v>71</v>
      </c>
      <c r="BT4" s="20" t="s">
        <v>72</v>
      </c>
      <c r="BU4" s="20" t="s">
        <v>73</v>
      </c>
      <c r="BV4" s="20" t="s">
        <v>74</v>
      </c>
      <c r="BW4" s="20" t="s">
        <v>75</v>
      </c>
      <c r="BX4" s="20" t="s">
        <v>76</v>
      </c>
      <c r="BY4" s="20" t="s">
        <v>77</v>
      </c>
      <c r="BZ4" s="20" t="s">
        <v>78</v>
      </c>
      <c r="CA4" s="20" t="s">
        <v>79</v>
      </c>
      <c r="CB4" s="20" t="s">
        <v>80</v>
      </c>
      <c r="CC4" s="20" t="s">
        <v>81</v>
      </c>
      <c r="CD4" s="20" t="s">
        <v>82</v>
      </c>
      <c r="CE4" s="20" t="s">
        <v>83</v>
      </c>
      <c r="CF4" s="20" t="s">
        <v>84</v>
      </c>
      <c r="CG4" s="20" t="s">
        <v>85</v>
      </c>
      <c r="CH4" s="20" t="s">
        <v>86</v>
      </c>
      <c r="CI4" s="20" t="s">
        <v>87</v>
      </c>
      <c r="CJ4" s="20" t="s">
        <v>88</v>
      </c>
      <c r="CK4" s="20" t="s">
        <v>89</v>
      </c>
      <c r="CL4" s="20" t="s">
        <v>90</v>
      </c>
      <c r="CM4" s="20" t="s">
        <v>91</v>
      </c>
      <c r="CN4" s="20" t="s">
        <v>92</v>
      </c>
      <c r="CO4" s="20" t="s">
        <v>93</v>
      </c>
      <c r="CP4" s="20" t="s">
        <v>94</v>
      </c>
      <c r="CQ4" s="20" t="s">
        <v>95</v>
      </c>
      <c r="CR4" s="20" t="s">
        <v>96</v>
      </c>
      <c r="CS4" s="20" t="s">
        <v>97</v>
      </c>
      <c r="CT4" s="20" t="s">
        <v>98</v>
      </c>
      <c r="CU4" s="20" t="s">
        <v>99</v>
      </c>
      <c r="CV4" s="20" t="s">
        <v>100</v>
      </c>
      <c r="CW4" s="20" t="s">
        <v>101</v>
      </c>
      <c r="CX4" s="20" t="s">
        <v>102</v>
      </c>
      <c r="CY4" s="20" t="s">
        <v>103</v>
      </c>
      <c r="CZ4" s="20" t="s">
        <v>104</v>
      </c>
      <c r="DA4" s="20" t="s">
        <v>105</v>
      </c>
      <c r="DB4" s="20" t="s">
        <v>106</v>
      </c>
      <c r="DC4" s="20" t="s">
        <v>107</v>
      </c>
      <c r="DD4" s="20" t="s">
        <v>108</v>
      </c>
      <c r="DE4" s="20" t="s">
        <v>109</v>
      </c>
      <c r="DF4" s="20" t="s">
        <v>110</v>
      </c>
      <c r="DG4" s="20" t="s">
        <v>111</v>
      </c>
      <c r="DH4" s="20" t="s">
        <v>112</v>
      </c>
      <c r="DI4" s="20" t="s">
        <v>113</v>
      </c>
      <c r="DJ4" s="20" t="s">
        <v>114</v>
      </c>
      <c r="DK4" s="20" t="s">
        <v>115</v>
      </c>
      <c r="DL4" s="20" t="s">
        <v>116</v>
      </c>
      <c r="DM4" s="20" t="s">
        <v>117</v>
      </c>
      <c r="DN4" s="20" t="s">
        <v>118</v>
      </c>
      <c r="DO4" s="20" t="s">
        <v>119</v>
      </c>
      <c r="DP4" s="20" t="s">
        <v>120</v>
      </c>
      <c r="DQ4" s="20" t="s">
        <v>121</v>
      </c>
      <c r="DR4" s="21" t="s">
        <v>122</v>
      </c>
    </row>
    <row r="5" spans="1:122" ht="28.8" x14ac:dyDescent="0.3">
      <c r="A5" s="1" t="s">
        <v>156</v>
      </c>
      <c r="B5" s="1" t="s">
        <v>124</v>
      </c>
      <c r="C5" s="7"/>
      <c r="D5" s="7"/>
      <c r="E5" s="7"/>
      <c r="F5" s="7"/>
      <c r="G5" s="7"/>
      <c r="H5" s="7"/>
      <c r="I5" s="7"/>
      <c r="J5" s="16"/>
      <c r="K5" s="16">
        <f t="shared" ref="K5" si="0">(J5/9)*12</f>
        <v>0</v>
      </c>
      <c r="L5" s="7"/>
      <c r="M5" s="7"/>
      <c r="N5" s="14"/>
      <c r="O5" s="13">
        <f t="shared" ref="O5" si="1">N5*L5</f>
        <v>0</v>
      </c>
      <c r="P5" s="14"/>
      <c r="Q5" s="7">
        <f t="shared" ref="Q5" si="2">P5*M5</f>
        <v>0</v>
      </c>
      <c r="R5" s="8"/>
      <c r="S5" s="8"/>
      <c r="T5" s="7"/>
      <c r="U5" s="7"/>
      <c r="V5" s="14"/>
      <c r="W5" s="7">
        <f t="shared" ref="W5" si="3">V5*T5</f>
        <v>0</v>
      </c>
      <c r="X5" s="14"/>
      <c r="Y5" s="7">
        <f t="shared" ref="Y5" si="4">X5*U5</f>
        <v>0</v>
      </c>
      <c r="Z5" s="9"/>
      <c r="AA5" s="9"/>
      <c r="AB5" s="7"/>
      <c r="AC5" s="7"/>
      <c r="AD5" s="14"/>
      <c r="AE5" s="7">
        <f t="shared" ref="AE5" si="5">AD5*AB5</f>
        <v>0</v>
      </c>
      <c r="AF5" s="14"/>
      <c r="AG5" s="7">
        <f t="shared" ref="AG5" si="6">AF5*AC5</f>
        <v>0</v>
      </c>
      <c r="AH5" s="9"/>
      <c r="AI5" s="9"/>
      <c r="AJ5" s="7"/>
      <c r="AK5" s="7"/>
      <c r="AL5" s="14"/>
      <c r="AM5" s="7">
        <f t="shared" ref="AM5" si="7">AL5*AJ5</f>
        <v>0</v>
      </c>
      <c r="AN5" s="14"/>
      <c r="AO5" s="7">
        <f t="shared" ref="AO5" si="8">AN5*AK5</f>
        <v>0</v>
      </c>
      <c r="AP5" s="9"/>
      <c r="AQ5" s="9"/>
      <c r="AR5" s="7"/>
      <c r="AS5" s="7"/>
      <c r="AT5" s="14"/>
      <c r="AU5" s="7">
        <f t="shared" ref="AU5" si="9">AT5*AR5</f>
        <v>0</v>
      </c>
      <c r="AV5" s="14"/>
      <c r="AW5" s="7">
        <f t="shared" ref="AW5" si="10">AV5*AS5</f>
        <v>0</v>
      </c>
      <c r="AX5" s="9"/>
      <c r="AY5" s="9"/>
      <c r="AZ5" s="7"/>
      <c r="BA5" s="7"/>
      <c r="BB5" s="14"/>
      <c r="BC5" s="7">
        <f t="shared" ref="BC5" si="11">AZ5*BB5</f>
        <v>0</v>
      </c>
      <c r="BD5" s="14"/>
      <c r="BE5" s="7">
        <f t="shared" ref="BE5" si="12">BD5*BA5</f>
        <v>0</v>
      </c>
      <c r="BF5" s="9"/>
      <c r="BG5" s="9"/>
      <c r="BH5" s="7"/>
      <c r="BI5" s="7"/>
      <c r="BJ5" s="14"/>
      <c r="BK5" s="7">
        <f t="shared" ref="BK5" si="13">BJ5*BH5</f>
        <v>0</v>
      </c>
      <c r="BL5" s="14"/>
      <c r="BM5" s="7">
        <f t="shared" ref="BM5" si="14">BL5*BI5</f>
        <v>0</v>
      </c>
      <c r="BN5" s="9"/>
      <c r="BO5" s="9"/>
      <c r="BP5" s="7"/>
      <c r="BQ5" s="7"/>
      <c r="BR5" s="14"/>
      <c r="BS5" s="7">
        <f t="shared" ref="BS5" si="15">BR5*BP5</f>
        <v>0</v>
      </c>
      <c r="BT5" s="14"/>
      <c r="BU5" s="7">
        <f t="shared" ref="BU5" si="16">BT5*BQ5</f>
        <v>0</v>
      </c>
      <c r="BV5" s="9"/>
      <c r="BW5" s="9"/>
      <c r="BX5" s="7"/>
      <c r="BY5" s="7"/>
      <c r="BZ5" s="10"/>
      <c r="CA5" s="7">
        <f t="shared" ref="CA5" si="17">BZ5*BX5</f>
        <v>0</v>
      </c>
      <c r="CB5" s="14"/>
      <c r="CC5" s="7">
        <f t="shared" ref="CC5" si="18">CB5*BY5</f>
        <v>0</v>
      </c>
      <c r="CD5" s="9"/>
      <c r="CE5" s="9"/>
      <c r="CF5" s="7">
        <v>0</v>
      </c>
      <c r="CG5" s="7">
        <v>0</v>
      </c>
      <c r="CH5" s="14">
        <v>0.45</v>
      </c>
      <c r="CI5" s="7">
        <f t="shared" ref="CI5" si="19">CH5*CF5</f>
        <v>0</v>
      </c>
      <c r="CJ5" s="14">
        <v>0.45</v>
      </c>
      <c r="CK5" s="13">
        <f t="shared" ref="CK5" si="20">CJ5*CG5</f>
        <v>0</v>
      </c>
      <c r="CL5" s="9"/>
      <c r="CM5" s="9"/>
      <c r="CN5" s="7">
        <v>0</v>
      </c>
      <c r="CO5" s="7">
        <v>0</v>
      </c>
      <c r="CP5" s="14">
        <v>0.45</v>
      </c>
      <c r="CQ5" s="13">
        <f t="shared" ref="CQ5" si="21">CN5*CP5</f>
        <v>0</v>
      </c>
      <c r="CR5" s="14">
        <v>0.45</v>
      </c>
      <c r="CS5" s="13">
        <f t="shared" ref="CS5" si="22">CR5*CO5</f>
        <v>0</v>
      </c>
      <c r="CT5" s="9"/>
      <c r="CU5" s="9"/>
      <c r="CV5" s="7">
        <v>0</v>
      </c>
      <c r="CW5" s="7">
        <v>0</v>
      </c>
      <c r="CX5" s="14">
        <v>0.45</v>
      </c>
      <c r="CY5" s="13">
        <f t="shared" ref="CY5" si="23">CX5*CV5</f>
        <v>0</v>
      </c>
      <c r="CZ5" s="14">
        <v>0.45</v>
      </c>
      <c r="DA5" s="7">
        <f t="shared" ref="DA5" si="24">CZ5*CW5</f>
        <v>0</v>
      </c>
      <c r="DB5" s="9"/>
      <c r="DC5" s="9"/>
      <c r="DD5" s="7">
        <f t="shared" ref="DD5:DD60" si="25">SUM(L5,T5,AB5,AJ5,AR5,AZ5,BH5,BP5,BX5,CF5,CN5,CV5)</f>
        <v>0</v>
      </c>
      <c r="DE5" s="7">
        <f t="shared" ref="DE5" si="26">SUM(O5,W5,AE5,AM5,AU5,BC5,BJ5,BS5,CA5,CI5,CQ5,CY5)</f>
        <v>0</v>
      </c>
      <c r="DF5" s="10" t="e">
        <f t="shared" ref="DF5" si="27">DE5/DD5</f>
        <v>#DIV/0!</v>
      </c>
      <c r="DG5" s="7">
        <f t="shared" ref="DG5" si="28">SUM(M5,U5,AC5,AK5,AS5,BA5,BI5,BQ5,BY5,CG5,CO5,CW5)</f>
        <v>0</v>
      </c>
      <c r="DH5" s="7">
        <f t="shared" ref="DH5" si="29">SUM(Q5,Y5,AG5,AO5,AW5,BE5,BM5,BU5,CC5,CK5,CS5,DA5)</f>
        <v>0</v>
      </c>
      <c r="DI5" s="14" t="e">
        <f t="shared" ref="DI5" si="30">DH5/DG5</f>
        <v>#DIV/0!</v>
      </c>
      <c r="DJ5" s="11">
        <f t="shared" ref="DJ5:DK5" si="31">SUM(R5,Z5,AH5,AP5,AX5,BF5,BN5,BV5,CD5,CL5,CT5,DB5)</f>
        <v>0</v>
      </c>
      <c r="DK5" s="11">
        <f t="shared" si="31"/>
        <v>0</v>
      </c>
      <c r="DL5" s="29" t="s">
        <v>162</v>
      </c>
      <c r="DM5" s="7">
        <v>3360000</v>
      </c>
      <c r="DN5" s="16"/>
      <c r="DO5" s="16"/>
      <c r="DP5" s="12">
        <f t="shared" ref="DP5:DP60" si="32">DD5/DM5</f>
        <v>0</v>
      </c>
      <c r="DQ5" s="17"/>
      <c r="DR5" s="3"/>
    </row>
    <row r="6" spans="1:122" x14ac:dyDescent="0.3">
      <c r="A6" s="1" t="s">
        <v>157</v>
      </c>
      <c r="B6" s="1" t="s">
        <v>125</v>
      </c>
      <c r="C6" s="7"/>
      <c r="D6" s="7"/>
      <c r="E6" s="7"/>
      <c r="F6" s="7"/>
      <c r="G6" s="7"/>
      <c r="H6" s="7"/>
      <c r="I6" s="7"/>
      <c r="J6" s="7"/>
      <c r="K6" s="16">
        <f t="shared" ref="K6:K59" si="33">(J6/9)*12</f>
        <v>0</v>
      </c>
      <c r="L6" s="7"/>
      <c r="M6" s="7"/>
      <c r="N6" s="14"/>
      <c r="O6" s="13">
        <f t="shared" ref="O6:O59" si="34">N6*L6</f>
        <v>0</v>
      </c>
      <c r="P6" s="14"/>
      <c r="Q6" s="7">
        <f t="shared" ref="Q6:Q59" si="35">P6*M6</f>
        <v>0</v>
      </c>
      <c r="R6" s="8"/>
      <c r="S6" s="8"/>
      <c r="T6" s="7"/>
      <c r="U6" s="7"/>
      <c r="V6" s="14"/>
      <c r="W6" s="7">
        <f t="shared" ref="W6:W59" si="36">V6*T6</f>
        <v>0</v>
      </c>
      <c r="X6" s="14"/>
      <c r="Y6" s="7">
        <f t="shared" ref="Y6:Y59" si="37">X6*U6</f>
        <v>0</v>
      </c>
      <c r="Z6" s="9"/>
      <c r="AA6" s="9"/>
      <c r="AB6" s="7"/>
      <c r="AC6" s="7"/>
      <c r="AD6" s="14"/>
      <c r="AE6" s="7">
        <f t="shared" ref="AE6:AE59" si="38">AD6*AB6</f>
        <v>0</v>
      </c>
      <c r="AF6" s="14"/>
      <c r="AG6" s="7">
        <f t="shared" ref="AG6:AG59" si="39">AF6*AC6</f>
        <v>0</v>
      </c>
      <c r="AH6" s="9"/>
      <c r="AI6" s="9"/>
      <c r="AJ6" s="7"/>
      <c r="AK6" s="7"/>
      <c r="AL6" s="14"/>
      <c r="AM6" s="7">
        <f t="shared" ref="AM6:AM59" si="40">AL6*AJ6</f>
        <v>0</v>
      </c>
      <c r="AN6" s="14"/>
      <c r="AO6" s="7">
        <f t="shared" ref="AO6:AO59" si="41">AN6*AK6</f>
        <v>0</v>
      </c>
      <c r="AP6" s="9"/>
      <c r="AQ6" s="9"/>
      <c r="AR6" s="7"/>
      <c r="AS6" s="7"/>
      <c r="AT6" s="14"/>
      <c r="AU6" s="7">
        <f t="shared" ref="AU6:AU59" si="42">AT6*AR6</f>
        <v>0</v>
      </c>
      <c r="AV6" s="14"/>
      <c r="AW6" s="7">
        <f t="shared" ref="AW6:AW59" si="43">AV6*AS6</f>
        <v>0</v>
      </c>
      <c r="AX6" s="9"/>
      <c r="AY6" s="9"/>
      <c r="AZ6" s="7"/>
      <c r="BA6" s="7"/>
      <c r="BB6" s="14"/>
      <c r="BC6" s="7">
        <f t="shared" ref="BC6:BC59" si="44">AZ6*BB6</f>
        <v>0</v>
      </c>
      <c r="BD6" s="14"/>
      <c r="BE6" s="7">
        <f t="shared" ref="BE6:BE59" si="45">BD6*BA6</f>
        <v>0</v>
      </c>
      <c r="BF6" s="9"/>
      <c r="BG6" s="9"/>
      <c r="BH6" s="7"/>
      <c r="BI6" s="7"/>
      <c r="BJ6" s="14"/>
      <c r="BK6" s="7">
        <f t="shared" ref="BK6:BK59" si="46">BJ6*BH6</f>
        <v>0</v>
      </c>
      <c r="BL6" s="14"/>
      <c r="BM6" s="7">
        <f t="shared" ref="BM6:BM59" si="47">BL6*BI6</f>
        <v>0</v>
      </c>
      <c r="BN6" s="9"/>
      <c r="BO6" s="9"/>
      <c r="BP6" s="7"/>
      <c r="BQ6" s="7"/>
      <c r="BR6" s="14"/>
      <c r="BS6" s="7">
        <f t="shared" ref="BS6:BS59" si="48">BR6*BP6</f>
        <v>0</v>
      </c>
      <c r="BT6" s="14"/>
      <c r="BU6" s="7">
        <f t="shared" ref="BU6:BU59" si="49">BT6*BQ6</f>
        <v>0</v>
      </c>
      <c r="BV6" s="9"/>
      <c r="BW6" s="9"/>
      <c r="BX6" s="7"/>
      <c r="BY6" s="7"/>
      <c r="BZ6" s="10"/>
      <c r="CA6" s="7">
        <f t="shared" ref="CA6:CA59" si="50">BZ6*BX6</f>
        <v>0</v>
      </c>
      <c r="CB6" s="14"/>
      <c r="CC6" s="7">
        <f t="shared" ref="CC6:CC59" si="51">CB6*BY6</f>
        <v>0</v>
      </c>
      <c r="CD6" s="9"/>
      <c r="CE6" s="9"/>
      <c r="CF6" s="7">
        <v>0</v>
      </c>
      <c r="CG6" s="7">
        <v>0</v>
      </c>
      <c r="CH6" s="14">
        <v>0.5</v>
      </c>
      <c r="CI6" s="7">
        <f t="shared" ref="CI6:CI59" si="52">CH6*CF6</f>
        <v>0</v>
      </c>
      <c r="CJ6" s="14">
        <v>0.5</v>
      </c>
      <c r="CK6" s="13">
        <f t="shared" ref="CK6:CK59" si="53">CJ6*CG6</f>
        <v>0</v>
      </c>
      <c r="CL6" s="9"/>
      <c r="CM6" s="9"/>
      <c r="CN6" s="7">
        <v>0</v>
      </c>
      <c r="CO6" s="7">
        <v>0</v>
      </c>
      <c r="CP6" s="14">
        <v>0.5</v>
      </c>
      <c r="CQ6" s="13">
        <f t="shared" ref="CQ6:CQ59" si="54">CN6*CP6</f>
        <v>0</v>
      </c>
      <c r="CR6" s="14">
        <v>0.5</v>
      </c>
      <c r="CS6" s="13">
        <f t="shared" ref="CS6:CS59" si="55">CR6*CO6</f>
        <v>0</v>
      </c>
      <c r="CT6" s="9"/>
      <c r="CU6" s="9"/>
      <c r="CV6" s="7">
        <v>0</v>
      </c>
      <c r="CW6" s="7">
        <v>0</v>
      </c>
      <c r="CX6" s="14">
        <v>0.5</v>
      </c>
      <c r="CY6" s="13">
        <f t="shared" ref="CY6:CY59" si="56">CX6*CV6</f>
        <v>0</v>
      </c>
      <c r="CZ6" s="14">
        <v>0.5</v>
      </c>
      <c r="DA6" s="7">
        <f t="shared" ref="DA6:DA59" si="57">CZ6*CW6</f>
        <v>0</v>
      </c>
      <c r="DB6" s="9"/>
      <c r="DC6" s="9"/>
      <c r="DD6" s="7">
        <f t="shared" si="25"/>
        <v>0</v>
      </c>
      <c r="DE6" s="7">
        <f t="shared" ref="DE6:DE59" si="58">SUM(O6,W6,AE6,AM6,AU6,BC6,BJ6,BS6,CA6,CI6,CQ6,CY6)</f>
        <v>0</v>
      </c>
      <c r="DF6" s="10" t="e">
        <f t="shared" ref="DF6:DF59" si="59">DE6/DD6</f>
        <v>#DIV/0!</v>
      </c>
      <c r="DG6" s="7">
        <f t="shared" ref="DG6:DG59" si="60">SUM(M6,U6,AC6,AK6,AS6,BA6,BI6,BQ6,BY6,CG6,CO6,CW6)</f>
        <v>0</v>
      </c>
      <c r="DH6" s="7">
        <f t="shared" ref="DH6:DH59" si="61">SUM(Q6,Y6,AG6,AO6,AW6,BE6,BM6,BU6,CC6,CK6,CS6,DA6)</f>
        <v>0</v>
      </c>
      <c r="DI6" s="14" t="e">
        <f t="shared" ref="DI6:DI59" si="62">DH6/DG6</f>
        <v>#DIV/0!</v>
      </c>
      <c r="DJ6" s="11">
        <f t="shared" ref="DJ6:DJ59" si="63">SUM(R6,Z6,AH6,AP6,AX6,BF6,BN6,BV6,CD6,CL6,CT6,DB6)</f>
        <v>0</v>
      </c>
      <c r="DK6" s="11">
        <f t="shared" ref="DK6:DK59" si="64">SUM(S6,AA6,AI6,AQ6,AY6,BG6,BO6,BW6,CE6,CM6,CU6,DC6)</f>
        <v>0</v>
      </c>
      <c r="DL6" s="29" t="s">
        <v>163</v>
      </c>
      <c r="DM6" s="7">
        <v>134400</v>
      </c>
      <c r="DN6" s="7"/>
      <c r="DO6" s="7"/>
      <c r="DP6" s="12">
        <f t="shared" si="32"/>
        <v>0</v>
      </c>
      <c r="DQ6" s="15"/>
    </row>
    <row r="7" spans="1:122" x14ac:dyDescent="0.3">
      <c r="A7" s="1" t="s">
        <v>156</v>
      </c>
      <c r="B7" s="1" t="s">
        <v>126</v>
      </c>
      <c r="C7" s="7"/>
      <c r="D7" s="7"/>
      <c r="E7" s="7"/>
      <c r="F7" s="7"/>
      <c r="G7" s="7"/>
      <c r="H7" s="7"/>
      <c r="I7" s="7"/>
      <c r="J7" s="7"/>
      <c r="K7" s="16">
        <f t="shared" si="33"/>
        <v>0</v>
      </c>
      <c r="L7" s="7"/>
      <c r="M7" s="7"/>
      <c r="N7" s="14"/>
      <c r="O7" s="13">
        <f t="shared" si="34"/>
        <v>0</v>
      </c>
      <c r="P7" s="14"/>
      <c r="Q7" s="7">
        <f t="shared" si="35"/>
        <v>0</v>
      </c>
      <c r="R7" s="8"/>
      <c r="S7" s="8"/>
      <c r="T7" s="7"/>
      <c r="U7" s="7"/>
      <c r="V7" s="14"/>
      <c r="W7" s="7">
        <f t="shared" si="36"/>
        <v>0</v>
      </c>
      <c r="X7" s="14"/>
      <c r="Y7" s="7">
        <f t="shared" si="37"/>
        <v>0</v>
      </c>
      <c r="Z7" s="9"/>
      <c r="AA7" s="9"/>
      <c r="AB7" s="7"/>
      <c r="AC7" s="7"/>
      <c r="AD7" s="14"/>
      <c r="AE7" s="7">
        <f t="shared" si="38"/>
        <v>0</v>
      </c>
      <c r="AF7" s="14"/>
      <c r="AG7" s="7">
        <f t="shared" si="39"/>
        <v>0</v>
      </c>
      <c r="AH7" s="9"/>
      <c r="AI7" s="9"/>
      <c r="AJ7" s="7"/>
      <c r="AK7" s="7"/>
      <c r="AL7" s="14"/>
      <c r="AM7" s="7">
        <f t="shared" si="40"/>
        <v>0</v>
      </c>
      <c r="AN7" s="14"/>
      <c r="AO7" s="7">
        <f t="shared" si="41"/>
        <v>0</v>
      </c>
      <c r="AP7" s="9"/>
      <c r="AQ7" s="9"/>
      <c r="AR7" s="7"/>
      <c r="AS7" s="7"/>
      <c r="AT7" s="14"/>
      <c r="AU7" s="7">
        <f t="shared" si="42"/>
        <v>0</v>
      </c>
      <c r="AV7" s="14"/>
      <c r="AW7" s="7">
        <f t="shared" si="43"/>
        <v>0</v>
      </c>
      <c r="AX7" s="9"/>
      <c r="AY7" s="9"/>
      <c r="AZ7" s="7"/>
      <c r="BA7" s="7"/>
      <c r="BB7" s="14"/>
      <c r="BC7" s="7">
        <f t="shared" si="44"/>
        <v>0</v>
      </c>
      <c r="BD7" s="14"/>
      <c r="BE7" s="7">
        <f t="shared" si="45"/>
        <v>0</v>
      </c>
      <c r="BF7" s="9"/>
      <c r="BG7" s="9"/>
      <c r="BH7" s="7"/>
      <c r="BI7" s="7"/>
      <c r="BJ7" s="14"/>
      <c r="BK7" s="7">
        <f t="shared" si="46"/>
        <v>0</v>
      </c>
      <c r="BL7" s="14"/>
      <c r="BM7" s="7">
        <f t="shared" si="47"/>
        <v>0</v>
      </c>
      <c r="BN7" s="9"/>
      <c r="BO7" s="9"/>
      <c r="BP7" s="7"/>
      <c r="BQ7" s="7"/>
      <c r="BR7" s="14"/>
      <c r="BS7" s="7">
        <f t="shared" si="48"/>
        <v>0</v>
      </c>
      <c r="BT7" s="14"/>
      <c r="BU7" s="7">
        <f t="shared" si="49"/>
        <v>0</v>
      </c>
      <c r="BV7" s="9"/>
      <c r="BW7" s="9"/>
      <c r="BX7" s="7"/>
      <c r="BY7" s="7"/>
      <c r="BZ7" s="10"/>
      <c r="CA7" s="7">
        <f t="shared" si="50"/>
        <v>0</v>
      </c>
      <c r="CB7" s="14"/>
      <c r="CC7" s="7">
        <f t="shared" si="51"/>
        <v>0</v>
      </c>
      <c r="CD7" s="9"/>
      <c r="CE7" s="9"/>
      <c r="CF7" s="7">
        <v>0</v>
      </c>
      <c r="CG7" s="7">
        <v>0</v>
      </c>
      <c r="CH7" s="14">
        <v>0.5</v>
      </c>
      <c r="CI7" s="7">
        <f t="shared" si="52"/>
        <v>0</v>
      </c>
      <c r="CJ7" s="14">
        <v>0.5</v>
      </c>
      <c r="CK7" s="13">
        <f t="shared" si="53"/>
        <v>0</v>
      </c>
      <c r="CL7" s="9"/>
      <c r="CM7" s="9"/>
      <c r="CN7" s="7">
        <v>0</v>
      </c>
      <c r="CO7" s="7">
        <v>0</v>
      </c>
      <c r="CP7" s="14">
        <v>0.5</v>
      </c>
      <c r="CQ7" s="13">
        <f t="shared" si="54"/>
        <v>0</v>
      </c>
      <c r="CR7" s="14">
        <v>0.5</v>
      </c>
      <c r="CS7" s="13">
        <f t="shared" si="55"/>
        <v>0</v>
      </c>
      <c r="CT7" s="9"/>
      <c r="CU7" s="9"/>
      <c r="CV7" s="7">
        <v>0</v>
      </c>
      <c r="CW7" s="7">
        <v>0</v>
      </c>
      <c r="CX7" s="14">
        <v>0.5</v>
      </c>
      <c r="CY7" s="13">
        <f t="shared" si="56"/>
        <v>0</v>
      </c>
      <c r="CZ7" s="14">
        <v>0.5</v>
      </c>
      <c r="DA7" s="7">
        <f t="shared" si="57"/>
        <v>0</v>
      </c>
      <c r="DB7" s="9"/>
      <c r="DC7" s="9"/>
      <c r="DD7" s="7">
        <f t="shared" si="25"/>
        <v>0</v>
      </c>
      <c r="DE7" s="7">
        <f t="shared" si="58"/>
        <v>0</v>
      </c>
      <c r="DF7" s="10" t="e">
        <f t="shared" si="59"/>
        <v>#DIV/0!</v>
      </c>
      <c r="DG7" s="7">
        <f t="shared" si="60"/>
        <v>0</v>
      </c>
      <c r="DH7" s="7">
        <f t="shared" si="61"/>
        <v>0</v>
      </c>
      <c r="DI7" s="14" t="e">
        <f t="shared" si="62"/>
        <v>#DIV/0!</v>
      </c>
      <c r="DJ7" s="11">
        <f t="shared" si="63"/>
        <v>0</v>
      </c>
      <c r="DK7" s="11">
        <f t="shared" si="64"/>
        <v>0</v>
      </c>
      <c r="DL7" s="29" t="s">
        <v>164</v>
      </c>
      <c r="DM7" s="7">
        <v>224000</v>
      </c>
      <c r="DN7" s="7"/>
      <c r="DO7" s="7"/>
      <c r="DP7" s="12">
        <f t="shared" si="32"/>
        <v>0</v>
      </c>
      <c r="DQ7" s="15"/>
    </row>
    <row r="8" spans="1:122" ht="28.8" x14ac:dyDescent="0.3">
      <c r="A8" s="1" t="s">
        <v>156</v>
      </c>
      <c r="B8" s="1" t="s">
        <v>127</v>
      </c>
      <c r="C8" s="7"/>
      <c r="D8" s="7"/>
      <c r="E8" s="7"/>
      <c r="F8" s="7"/>
      <c r="G8" s="7"/>
      <c r="H8" s="7"/>
      <c r="I8" s="7"/>
      <c r="J8" s="7"/>
      <c r="K8" s="16">
        <f t="shared" si="33"/>
        <v>0</v>
      </c>
      <c r="L8" s="7"/>
      <c r="M8" s="7"/>
      <c r="N8" s="14"/>
      <c r="O8" s="13">
        <f t="shared" si="34"/>
        <v>0</v>
      </c>
      <c r="P8" s="14"/>
      <c r="Q8" s="7">
        <f t="shared" si="35"/>
        <v>0</v>
      </c>
      <c r="R8" s="8"/>
      <c r="S8" s="8"/>
      <c r="T8" s="7"/>
      <c r="U8" s="7"/>
      <c r="V8" s="14"/>
      <c r="W8" s="7">
        <f t="shared" si="36"/>
        <v>0</v>
      </c>
      <c r="X8" s="14"/>
      <c r="Y8" s="7">
        <f t="shared" si="37"/>
        <v>0</v>
      </c>
      <c r="Z8" s="9"/>
      <c r="AA8" s="9"/>
      <c r="AB8" s="7"/>
      <c r="AC8" s="7"/>
      <c r="AD8" s="14"/>
      <c r="AE8" s="7">
        <f t="shared" si="38"/>
        <v>0</v>
      </c>
      <c r="AF8" s="14"/>
      <c r="AG8" s="7">
        <f t="shared" si="39"/>
        <v>0</v>
      </c>
      <c r="AH8" s="9"/>
      <c r="AI8" s="9"/>
      <c r="AJ8" s="7"/>
      <c r="AK8" s="7"/>
      <c r="AL8" s="14"/>
      <c r="AM8" s="7">
        <f t="shared" si="40"/>
        <v>0</v>
      </c>
      <c r="AN8" s="14"/>
      <c r="AO8" s="7">
        <f t="shared" si="41"/>
        <v>0</v>
      </c>
      <c r="AP8" s="9"/>
      <c r="AQ8" s="9"/>
      <c r="AR8" s="7"/>
      <c r="AS8" s="7"/>
      <c r="AT8" s="14"/>
      <c r="AU8" s="7">
        <f t="shared" si="42"/>
        <v>0</v>
      </c>
      <c r="AV8" s="14"/>
      <c r="AW8" s="7">
        <f t="shared" si="43"/>
        <v>0</v>
      </c>
      <c r="AX8" s="9"/>
      <c r="AY8" s="9"/>
      <c r="AZ8" s="7"/>
      <c r="BA8" s="7"/>
      <c r="BB8" s="14"/>
      <c r="BC8" s="7">
        <f t="shared" si="44"/>
        <v>0</v>
      </c>
      <c r="BD8" s="14"/>
      <c r="BE8" s="7">
        <f t="shared" si="45"/>
        <v>0</v>
      </c>
      <c r="BF8" s="9"/>
      <c r="BG8" s="9"/>
      <c r="BH8" s="7"/>
      <c r="BI8" s="7"/>
      <c r="BJ8" s="14"/>
      <c r="BK8" s="7">
        <f t="shared" si="46"/>
        <v>0</v>
      </c>
      <c r="BL8" s="14"/>
      <c r="BM8" s="7">
        <f t="shared" si="47"/>
        <v>0</v>
      </c>
      <c r="BN8" s="9"/>
      <c r="BO8" s="9"/>
      <c r="BP8" s="7"/>
      <c r="BQ8" s="7"/>
      <c r="BR8" s="14"/>
      <c r="BS8" s="7">
        <f t="shared" si="48"/>
        <v>0</v>
      </c>
      <c r="BT8" s="14"/>
      <c r="BU8" s="7">
        <f t="shared" si="49"/>
        <v>0</v>
      </c>
      <c r="BV8" s="9"/>
      <c r="BW8" s="9"/>
      <c r="BX8" s="7"/>
      <c r="BY8" s="7"/>
      <c r="BZ8" s="10"/>
      <c r="CA8" s="7">
        <f t="shared" si="50"/>
        <v>0</v>
      </c>
      <c r="CB8" s="14"/>
      <c r="CC8" s="7">
        <f t="shared" si="51"/>
        <v>0</v>
      </c>
      <c r="CD8" s="9"/>
      <c r="CE8" s="9"/>
      <c r="CF8" s="7">
        <v>0</v>
      </c>
      <c r="CG8" s="7">
        <v>0</v>
      </c>
      <c r="CH8" s="14">
        <v>0.45</v>
      </c>
      <c r="CI8" s="7">
        <f t="shared" si="52"/>
        <v>0</v>
      </c>
      <c r="CJ8" s="14">
        <v>0.45</v>
      </c>
      <c r="CK8" s="13">
        <f t="shared" si="53"/>
        <v>0</v>
      </c>
      <c r="CL8" s="9"/>
      <c r="CM8" s="9"/>
      <c r="CN8" s="7">
        <v>0</v>
      </c>
      <c r="CO8" s="7">
        <v>0</v>
      </c>
      <c r="CP8" s="14">
        <v>0.45</v>
      </c>
      <c r="CQ8" s="13">
        <f t="shared" si="54"/>
        <v>0</v>
      </c>
      <c r="CR8" s="14">
        <v>0.45</v>
      </c>
      <c r="CS8" s="13">
        <f t="shared" si="55"/>
        <v>0</v>
      </c>
      <c r="CT8" s="9"/>
      <c r="CU8" s="9"/>
      <c r="CV8" s="7">
        <v>0</v>
      </c>
      <c r="CW8" s="7">
        <v>0</v>
      </c>
      <c r="CX8" s="14">
        <v>0.45</v>
      </c>
      <c r="CY8" s="13">
        <f t="shared" si="56"/>
        <v>0</v>
      </c>
      <c r="CZ8" s="14">
        <v>0.45</v>
      </c>
      <c r="DA8" s="7">
        <f t="shared" si="57"/>
        <v>0</v>
      </c>
      <c r="DB8" s="9"/>
      <c r="DC8" s="9"/>
      <c r="DD8" s="7">
        <f t="shared" si="25"/>
        <v>0</v>
      </c>
      <c r="DE8" s="7">
        <f t="shared" si="58"/>
        <v>0</v>
      </c>
      <c r="DF8" s="10" t="e">
        <f t="shared" si="59"/>
        <v>#DIV/0!</v>
      </c>
      <c r="DG8" s="7">
        <f t="shared" si="60"/>
        <v>0</v>
      </c>
      <c r="DH8" s="7">
        <f t="shared" si="61"/>
        <v>0</v>
      </c>
      <c r="DI8" s="14" t="e">
        <f t="shared" si="62"/>
        <v>#DIV/0!</v>
      </c>
      <c r="DJ8" s="11">
        <f t="shared" si="63"/>
        <v>0</v>
      </c>
      <c r="DK8" s="11">
        <f t="shared" si="64"/>
        <v>0</v>
      </c>
      <c r="DL8" s="29" t="s">
        <v>162</v>
      </c>
      <c r="DM8" s="7">
        <v>1120000</v>
      </c>
      <c r="DN8" s="7"/>
      <c r="DO8" s="7"/>
      <c r="DP8" s="12">
        <f t="shared" si="32"/>
        <v>0</v>
      </c>
      <c r="DQ8" s="15"/>
    </row>
    <row r="9" spans="1:122" ht="28.8" x14ac:dyDescent="0.3">
      <c r="A9" s="1" t="s">
        <v>158</v>
      </c>
      <c r="B9" s="1" t="s">
        <v>128</v>
      </c>
      <c r="C9" s="7"/>
      <c r="D9" s="7"/>
      <c r="E9" s="7"/>
      <c r="F9" s="7"/>
      <c r="G9" s="7"/>
      <c r="H9" s="7"/>
      <c r="I9" s="7"/>
      <c r="J9" s="7"/>
      <c r="K9" s="16">
        <f t="shared" si="33"/>
        <v>0</v>
      </c>
      <c r="L9" s="7"/>
      <c r="M9" s="7"/>
      <c r="N9" s="14"/>
      <c r="O9" s="13">
        <f t="shared" si="34"/>
        <v>0</v>
      </c>
      <c r="P9" s="14"/>
      <c r="Q9" s="7">
        <f t="shared" si="35"/>
        <v>0</v>
      </c>
      <c r="R9" s="8"/>
      <c r="S9" s="8"/>
      <c r="T9" s="7"/>
      <c r="U9" s="7"/>
      <c r="V9" s="14"/>
      <c r="W9" s="7">
        <f t="shared" si="36"/>
        <v>0</v>
      </c>
      <c r="X9" s="14"/>
      <c r="Y9" s="7">
        <f t="shared" si="37"/>
        <v>0</v>
      </c>
      <c r="Z9" s="9"/>
      <c r="AA9" s="9"/>
      <c r="AB9" s="7"/>
      <c r="AC9" s="7"/>
      <c r="AD9" s="14"/>
      <c r="AE9" s="7">
        <f t="shared" si="38"/>
        <v>0</v>
      </c>
      <c r="AF9" s="14"/>
      <c r="AG9" s="7">
        <f t="shared" si="39"/>
        <v>0</v>
      </c>
      <c r="AH9" s="9"/>
      <c r="AI9" s="9"/>
      <c r="AJ9" s="7"/>
      <c r="AK9" s="7"/>
      <c r="AL9" s="14"/>
      <c r="AM9" s="7">
        <f t="shared" si="40"/>
        <v>0</v>
      </c>
      <c r="AN9" s="14"/>
      <c r="AO9" s="7">
        <f t="shared" si="41"/>
        <v>0</v>
      </c>
      <c r="AP9" s="9"/>
      <c r="AQ9" s="9"/>
      <c r="AR9" s="7"/>
      <c r="AS9" s="7"/>
      <c r="AT9" s="14"/>
      <c r="AU9" s="7">
        <f t="shared" si="42"/>
        <v>0</v>
      </c>
      <c r="AV9" s="14"/>
      <c r="AW9" s="7">
        <f t="shared" si="43"/>
        <v>0</v>
      </c>
      <c r="AX9" s="9"/>
      <c r="AY9" s="9"/>
      <c r="AZ9" s="7"/>
      <c r="BA9" s="7"/>
      <c r="BB9" s="14"/>
      <c r="BC9" s="7">
        <f t="shared" si="44"/>
        <v>0</v>
      </c>
      <c r="BD9" s="14"/>
      <c r="BE9" s="7">
        <f t="shared" si="45"/>
        <v>0</v>
      </c>
      <c r="BF9" s="9"/>
      <c r="BG9" s="9"/>
      <c r="BH9" s="7"/>
      <c r="BI9" s="7"/>
      <c r="BJ9" s="14"/>
      <c r="BK9" s="7">
        <f t="shared" si="46"/>
        <v>0</v>
      </c>
      <c r="BL9" s="14"/>
      <c r="BM9" s="7">
        <f t="shared" si="47"/>
        <v>0</v>
      </c>
      <c r="BN9" s="9"/>
      <c r="BO9" s="9"/>
      <c r="BP9" s="7"/>
      <c r="BQ9" s="7"/>
      <c r="BR9" s="14"/>
      <c r="BS9" s="7">
        <f t="shared" si="48"/>
        <v>0</v>
      </c>
      <c r="BT9" s="14"/>
      <c r="BU9" s="7">
        <f t="shared" si="49"/>
        <v>0</v>
      </c>
      <c r="BV9" s="9"/>
      <c r="BW9" s="9"/>
      <c r="BX9" s="7"/>
      <c r="BY9" s="7"/>
      <c r="BZ9" s="10"/>
      <c r="CA9" s="7">
        <f t="shared" si="50"/>
        <v>0</v>
      </c>
      <c r="CB9" s="14"/>
      <c r="CC9" s="7">
        <f t="shared" si="51"/>
        <v>0</v>
      </c>
      <c r="CD9" s="9"/>
      <c r="CE9" s="9"/>
      <c r="CF9" s="7">
        <v>0</v>
      </c>
      <c r="CG9" s="7">
        <v>0</v>
      </c>
      <c r="CH9" s="14">
        <v>0.45</v>
      </c>
      <c r="CI9" s="7">
        <f t="shared" si="52"/>
        <v>0</v>
      </c>
      <c r="CJ9" s="14">
        <v>0.45</v>
      </c>
      <c r="CK9" s="13">
        <f t="shared" si="53"/>
        <v>0</v>
      </c>
      <c r="CL9" s="9"/>
      <c r="CM9" s="9"/>
      <c r="CN9" s="7">
        <v>0</v>
      </c>
      <c r="CO9" s="7">
        <v>0</v>
      </c>
      <c r="CP9" s="14">
        <v>0.45</v>
      </c>
      <c r="CQ9" s="13">
        <f t="shared" si="54"/>
        <v>0</v>
      </c>
      <c r="CR9" s="14">
        <v>0.45</v>
      </c>
      <c r="CS9" s="13">
        <f t="shared" si="55"/>
        <v>0</v>
      </c>
      <c r="CT9" s="9"/>
      <c r="CU9" s="9"/>
      <c r="CV9" s="7">
        <v>0</v>
      </c>
      <c r="CW9" s="7">
        <v>0</v>
      </c>
      <c r="CX9" s="14">
        <v>0.45</v>
      </c>
      <c r="CY9" s="13">
        <f t="shared" si="56"/>
        <v>0</v>
      </c>
      <c r="CZ9" s="14">
        <v>0.45</v>
      </c>
      <c r="DA9" s="7">
        <f t="shared" si="57"/>
        <v>0</v>
      </c>
      <c r="DB9" s="9"/>
      <c r="DC9" s="9"/>
      <c r="DD9" s="7">
        <f t="shared" si="25"/>
        <v>0</v>
      </c>
      <c r="DE9" s="7">
        <f t="shared" si="58"/>
        <v>0</v>
      </c>
      <c r="DF9" s="10" t="e">
        <f t="shared" si="59"/>
        <v>#DIV/0!</v>
      </c>
      <c r="DG9" s="7">
        <f t="shared" si="60"/>
        <v>0</v>
      </c>
      <c r="DH9" s="7">
        <f t="shared" si="61"/>
        <v>0</v>
      </c>
      <c r="DI9" s="14" t="e">
        <f t="shared" si="62"/>
        <v>#DIV/0!</v>
      </c>
      <c r="DJ9" s="11">
        <f t="shared" si="63"/>
        <v>0</v>
      </c>
      <c r="DK9" s="11">
        <f t="shared" si="64"/>
        <v>0</v>
      </c>
      <c r="DL9" s="29" t="s">
        <v>162</v>
      </c>
      <c r="DM9" s="7">
        <v>4480000</v>
      </c>
      <c r="DN9" s="7"/>
      <c r="DO9" s="7"/>
      <c r="DP9" s="12">
        <f t="shared" si="32"/>
        <v>0</v>
      </c>
      <c r="DQ9" s="15"/>
    </row>
    <row r="10" spans="1:122" x14ac:dyDescent="0.3">
      <c r="A10" s="1" t="s">
        <v>158</v>
      </c>
      <c r="B10" s="1" t="s">
        <v>129</v>
      </c>
      <c r="C10" s="7"/>
      <c r="D10" s="7"/>
      <c r="E10" s="7"/>
      <c r="F10" s="7"/>
      <c r="G10" s="7"/>
      <c r="H10" s="7"/>
      <c r="I10" s="7"/>
      <c r="J10" s="7"/>
      <c r="K10" s="16">
        <f t="shared" si="33"/>
        <v>0</v>
      </c>
      <c r="L10" s="7"/>
      <c r="M10" s="7"/>
      <c r="N10" s="14"/>
      <c r="O10" s="13">
        <f t="shared" si="34"/>
        <v>0</v>
      </c>
      <c r="P10" s="14"/>
      <c r="Q10" s="7">
        <f t="shared" si="35"/>
        <v>0</v>
      </c>
      <c r="R10" s="8"/>
      <c r="S10" s="8"/>
      <c r="T10" s="7"/>
      <c r="U10" s="7"/>
      <c r="V10" s="14"/>
      <c r="W10" s="7">
        <f t="shared" si="36"/>
        <v>0</v>
      </c>
      <c r="X10" s="14"/>
      <c r="Y10" s="7">
        <f t="shared" si="37"/>
        <v>0</v>
      </c>
      <c r="Z10" s="9"/>
      <c r="AA10" s="9"/>
      <c r="AB10" s="7"/>
      <c r="AC10" s="7"/>
      <c r="AD10" s="14"/>
      <c r="AE10" s="7">
        <f t="shared" si="38"/>
        <v>0</v>
      </c>
      <c r="AF10" s="14"/>
      <c r="AG10" s="7">
        <f t="shared" si="39"/>
        <v>0</v>
      </c>
      <c r="AH10" s="9"/>
      <c r="AI10" s="9"/>
      <c r="AJ10" s="7"/>
      <c r="AK10" s="7"/>
      <c r="AL10" s="14"/>
      <c r="AM10" s="7">
        <f t="shared" si="40"/>
        <v>0</v>
      </c>
      <c r="AN10" s="14"/>
      <c r="AO10" s="7">
        <f t="shared" si="41"/>
        <v>0</v>
      </c>
      <c r="AP10" s="9"/>
      <c r="AQ10" s="9"/>
      <c r="AR10" s="7"/>
      <c r="AS10" s="7"/>
      <c r="AT10" s="14"/>
      <c r="AU10" s="7">
        <f t="shared" si="42"/>
        <v>0</v>
      </c>
      <c r="AV10" s="14"/>
      <c r="AW10" s="7">
        <f t="shared" si="43"/>
        <v>0</v>
      </c>
      <c r="AX10" s="9"/>
      <c r="AY10" s="9"/>
      <c r="AZ10" s="7"/>
      <c r="BA10" s="7"/>
      <c r="BB10" s="14"/>
      <c r="BC10" s="7">
        <f t="shared" si="44"/>
        <v>0</v>
      </c>
      <c r="BD10" s="14"/>
      <c r="BE10" s="7">
        <f t="shared" si="45"/>
        <v>0</v>
      </c>
      <c r="BF10" s="9"/>
      <c r="BG10" s="9"/>
      <c r="BH10" s="7"/>
      <c r="BI10" s="7"/>
      <c r="BJ10" s="14"/>
      <c r="BK10" s="7">
        <f t="shared" si="46"/>
        <v>0</v>
      </c>
      <c r="BL10" s="14"/>
      <c r="BM10" s="7">
        <f t="shared" si="47"/>
        <v>0</v>
      </c>
      <c r="BN10" s="9"/>
      <c r="BO10" s="9"/>
      <c r="BP10" s="7"/>
      <c r="BQ10" s="7"/>
      <c r="BR10" s="14"/>
      <c r="BS10" s="7">
        <f t="shared" si="48"/>
        <v>0</v>
      </c>
      <c r="BT10" s="14"/>
      <c r="BU10" s="7">
        <f t="shared" si="49"/>
        <v>0</v>
      </c>
      <c r="BV10" s="9"/>
      <c r="BW10" s="9"/>
      <c r="BX10" s="7"/>
      <c r="BY10" s="7"/>
      <c r="BZ10" s="10"/>
      <c r="CA10" s="7">
        <f t="shared" si="50"/>
        <v>0</v>
      </c>
      <c r="CB10" s="14"/>
      <c r="CC10" s="7">
        <f t="shared" si="51"/>
        <v>0</v>
      </c>
      <c r="CD10" s="9"/>
      <c r="CE10" s="9"/>
      <c r="CF10" s="7">
        <v>0</v>
      </c>
      <c r="CG10" s="7">
        <v>0</v>
      </c>
      <c r="CH10" s="14">
        <v>0.45</v>
      </c>
      <c r="CI10" s="7">
        <f t="shared" si="52"/>
        <v>0</v>
      </c>
      <c r="CJ10" s="14">
        <v>0.45</v>
      </c>
      <c r="CK10" s="13">
        <f t="shared" si="53"/>
        <v>0</v>
      </c>
      <c r="CL10" s="9"/>
      <c r="CM10" s="9"/>
      <c r="CN10" s="7">
        <v>0</v>
      </c>
      <c r="CO10" s="7">
        <v>0</v>
      </c>
      <c r="CP10" s="14">
        <v>0.45</v>
      </c>
      <c r="CQ10" s="13">
        <f t="shared" si="54"/>
        <v>0</v>
      </c>
      <c r="CR10" s="14">
        <v>0.45</v>
      </c>
      <c r="CS10" s="13">
        <f t="shared" si="55"/>
        <v>0</v>
      </c>
      <c r="CT10" s="9"/>
      <c r="CU10" s="9"/>
      <c r="CV10" s="7">
        <v>0</v>
      </c>
      <c r="CW10" s="7">
        <v>0</v>
      </c>
      <c r="CX10" s="14">
        <v>0.45</v>
      </c>
      <c r="CY10" s="13">
        <f t="shared" si="56"/>
        <v>0</v>
      </c>
      <c r="CZ10" s="14">
        <v>0.45</v>
      </c>
      <c r="DA10" s="7">
        <f t="shared" si="57"/>
        <v>0</v>
      </c>
      <c r="DB10" s="9"/>
      <c r="DC10" s="9"/>
      <c r="DD10" s="7">
        <f t="shared" si="25"/>
        <v>0</v>
      </c>
      <c r="DE10" s="7">
        <f t="shared" si="58"/>
        <v>0</v>
      </c>
      <c r="DF10" s="10" t="e">
        <f t="shared" si="59"/>
        <v>#DIV/0!</v>
      </c>
      <c r="DG10" s="7">
        <f t="shared" si="60"/>
        <v>0</v>
      </c>
      <c r="DH10" s="7">
        <f t="shared" si="61"/>
        <v>0</v>
      </c>
      <c r="DI10" s="14" t="e">
        <f t="shared" si="62"/>
        <v>#DIV/0!</v>
      </c>
      <c r="DJ10" s="11">
        <f t="shared" si="63"/>
        <v>0</v>
      </c>
      <c r="DK10" s="11">
        <f t="shared" si="64"/>
        <v>0</v>
      </c>
      <c r="DL10" s="29" t="s">
        <v>165</v>
      </c>
      <c r="DM10" s="7">
        <v>3360000</v>
      </c>
      <c r="DN10" s="7"/>
      <c r="DO10" s="7"/>
      <c r="DP10" s="12">
        <f t="shared" si="32"/>
        <v>0</v>
      </c>
      <c r="DQ10" s="15"/>
    </row>
    <row r="11" spans="1:122" x14ac:dyDescent="0.3">
      <c r="A11" s="1" t="s">
        <v>157</v>
      </c>
      <c r="B11" s="1" t="s">
        <v>130</v>
      </c>
      <c r="C11" s="7"/>
      <c r="D11" s="7"/>
      <c r="E11" s="7"/>
      <c r="F11" s="7"/>
      <c r="G11" s="7"/>
      <c r="H11" s="7"/>
      <c r="I11" s="7"/>
      <c r="J11" s="7"/>
      <c r="K11" s="16">
        <f t="shared" si="33"/>
        <v>0</v>
      </c>
      <c r="L11" s="7"/>
      <c r="M11" s="7"/>
      <c r="N11" s="14"/>
      <c r="O11" s="13">
        <f t="shared" si="34"/>
        <v>0</v>
      </c>
      <c r="P11" s="14"/>
      <c r="Q11" s="7">
        <f t="shared" si="35"/>
        <v>0</v>
      </c>
      <c r="R11" s="8"/>
      <c r="S11" s="8"/>
      <c r="T11" s="7"/>
      <c r="U11" s="7"/>
      <c r="V11" s="14"/>
      <c r="W11" s="7">
        <f t="shared" si="36"/>
        <v>0</v>
      </c>
      <c r="X11" s="14"/>
      <c r="Y11" s="7">
        <f t="shared" si="37"/>
        <v>0</v>
      </c>
      <c r="Z11" s="9"/>
      <c r="AA11" s="9"/>
      <c r="AB11" s="7"/>
      <c r="AC11" s="7"/>
      <c r="AD11" s="14"/>
      <c r="AE11" s="7">
        <f t="shared" si="38"/>
        <v>0</v>
      </c>
      <c r="AF11" s="14"/>
      <c r="AG11" s="7">
        <f t="shared" si="39"/>
        <v>0</v>
      </c>
      <c r="AH11" s="9"/>
      <c r="AI11" s="9"/>
      <c r="AJ11" s="7"/>
      <c r="AK11" s="7"/>
      <c r="AL11" s="14"/>
      <c r="AM11" s="7">
        <f t="shared" si="40"/>
        <v>0</v>
      </c>
      <c r="AN11" s="14"/>
      <c r="AO11" s="7">
        <f t="shared" si="41"/>
        <v>0</v>
      </c>
      <c r="AP11" s="9"/>
      <c r="AQ11" s="9"/>
      <c r="AR11" s="7"/>
      <c r="AS11" s="7"/>
      <c r="AT11" s="14"/>
      <c r="AU11" s="7">
        <f t="shared" si="42"/>
        <v>0</v>
      </c>
      <c r="AV11" s="14"/>
      <c r="AW11" s="7">
        <f t="shared" si="43"/>
        <v>0</v>
      </c>
      <c r="AX11" s="9"/>
      <c r="AY11" s="9"/>
      <c r="AZ11" s="7"/>
      <c r="BA11" s="7"/>
      <c r="BB11" s="14"/>
      <c r="BC11" s="7">
        <f t="shared" si="44"/>
        <v>0</v>
      </c>
      <c r="BD11" s="14"/>
      <c r="BE11" s="7">
        <f t="shared" si="45"/>
        <v>0</v>
      </c>
      <c r="BF11" s="9"/>
      <c r="BG11" s="9"/>
      <c r="BH11" s="7"/>
      <c r="BI11" s="7"/>
      <c r="BJ11" s="14"/>
      <c r="BK11" s="7">
        <f t="shared" si="46"/>
        <v>0</v>
      </c>
      <c r="BL11" s="14"/>
      <c r="BM11" s="7">
        <f t="shared" si="47"/>
        <v>0</v>
      </c>
      <c r="BN11" s="9"/>
      <c r="BO11" s="9"/>
      <c r="BP11" s="7"/>
      <c r="BQ11" s="7"/>
      <c r="BR11" s="14"/>
      <c r="BS11" s="7">
        <f t="shared" si="48"/>
        <v>0</v>
      </c>
      <c r="BT11" s="14"/>
      <c r="BU11" s="7">
        <f t="shared" si="49"/>
        <v>0</v>
      </c>
      <c r="BV11" s="9"/>
      <c r="BW11" s="9"/>
      <c r="BX11" s="7"/>
      <c r="BY11" s="7"/>
      <c r="BZ11" s="10"/>
      <c r="CA11" s="7">
        <f t="shared" si="50"/>
        <v>0</v>
      </c>
      <c r="CB11" s="14"/>
      <c r="CC11" s="7">
        <f t="shared" si="51"/>
        <v>0</v>
      </c>
      <c r="CD11" s="9"/>
      <c r="CE11" s="9"/>
      <c r="CF11" s="7">
        <v>9333.3333333333339</v>
      </c>
      <c r="CG11" s="7">
        <v>12444.444444444445</v>
      </c>
      <c r="CH11" s="14">
        <v>0.5</v>
      </c>
      <c r="CI11" s="7">
        <f t="shared" si="52"/>
        <v>4666.666666666667</v>
      </c>
      <c r="CJ11" s="14">
        <v>0.5</v>
      </c>
      <c r="CK11" s="13">
        <f t="shared" si="53"/>
        <v>6222.2222222222226</v>
      </c>
      <c r="CL11" s="9"/>
      <c r="CM11" s="9"/>
      <c r="CN11" s="7">
        <v>9333.3333333333339</v>
      </c>
      <c r="CO11" s="7">
        <v>12444.444444444445</v>
      </c>
      <c r="CP11" s="14">
        <v>0.5</v>
      </c>
      <c r="CQ11" s="13">
        <f t="shared" si="54"/>
        <v>4666.666666666667</v>
      </c>
      <c r="CR11" s="14">
        <v>0.5</v>
      </c>
      <c r="CS11" s="13">
        <f t="shared" si="55"/>
        <v>6222.2222222222226</v>
      </c>
      <c r="CT11" s="9"/>
      <c r="CU11" s="9"/>
      <c r="CV11" s="7">
        <v>9333.3333333333339</v>
      </c>
      <c r="CW11" s="7">
        <v>12444.444444444445</v>
      </c>
      <c r="CX11" s="14">
        <v>0.5</v>
      </c>
      <c r="CY11" s="13">
        <f t="shared" si="56"/>
        <v>4666.666666666667</v>
      </c>
      <c r="CZ11" s="14">
        <v>0.5</v>
      </c>
      <c r="DA11" s="7">
        <f t="shared" si="57"/>
        <v>6222.2222222222226</v>
      </c>
      <c r="DB11" s="9"/>
      <c r="DC11" s="9"/>
      <c r="DD11" s="7">
        <f t="shared" si="25"/>
        <v>28000</v>
      </c>
      <c r="DE11" s="7">
        <f t="shared" si="58"/>
        <v>14000</v>
      </c>
      <c r="DF11" s="10">
        <f t="shared" si="59"/>
        <v>0.5</v>
      </c>
      <c r="DG11" s="7">
        <f t="shared" si="60"/>
        <v>37333.333333333336</v>
      </c>
      <c r="DH11" s="7">
        <f t="shared" si="61"/>
        <v>18666.666666666668</v>
      </c>
      <c r="DI11" s="14">
        <f t="shared" si="62"/>
        <v>0.5</v>
      </c>
      <c r="DJ11" s="11">
        <f t="shared" si="63"/>
        <v>0</v>
      </c>
      <c r="DK11" s="11">
        <f t="shared" si="64"/>
        <v>0</v>
      </c>
      <c r="DL11" s="29" t="s">
        <v>166</v>
      </c>
      <c r="DM11" s="7">
        <v>672000</v>
      </c>
      <c r="DN11" s="7"/>
      <c r="DO11" s="7"/>
      <c r="DP11" s="12">
        <f t="shared" si="32"/>
        <v>4.1666666666666664E-2</v>
      </c>
      <c r="DQ11" s="15"/>
    </row>
    <row r="12" spans="1:122" x14ac:dyDescent="0.3">
      <c r="A12" s="1" t="s">
        <v>157</v>
      </c>
      <c r="B12" s="1" t="s">
        <v>131</v>
      </c>
      <c r="C12" s="7"/>
      <c r="D12" s="7"/>
      <c r="E12" s="7"/>
      <c r="F12" s="7"/>
      <c r="G12" s="7"/>
      <c r="H12" s="7"/>
      <c r="I12" s="7"/>
      <c r="J12" s="7"/>
      <c r="K12" s="16">
        <f t="shared" si="33"/>
        <v>0</v>
      </c>
      <c r="L12" s="7"/>
      <c r="M12" s="7"/>
      <c r="N12" s="14"/>
      <c r="O12" s="13">
        <f t="shared" si="34"/>
        <v>0</v>
      </c>
      <c r="P12" s="14"/>
      <c r="Q12" s="7">
        <f t="shared" si="35"/>
        <v>0</v>
      </c>
      <c r="R12" s="8"/>
      <c r="S12" s="8"/>
      <c r="T12" s="7"/>
      <c r="U12" s="7"/>
      <c r="V12" s="14"/>
      <c r="W12" s="7">
        <f t="shared" si="36"/>
        <v>0</v>
      </c>
      <c r="X12" s="14"/>
      <c r="Y12" s="7">
        <f t="shared" si="37"/>
        <v>0</v>
      </c>
      <c r="Z12" s="9"/>
      <c r="AA12" s="9"/>
      <c r="AB12" s="7"/>
      <c r="AC12" s="7"/>
      <c r="AD12" s="14"/>
      <c r="AE12" s="7">
        <f t="shared" si="38"/>
        <v>0</v>
      </c>
      <c r="AF12" s="14"/>
      <c r="AG12" s="7">
        <f t="shared" si="39"/>
        <v>0</v>
      </c>
      <c r="AH12" s="9"/>
      <c r="AI12" s="9"/>
      <c r="AJ12" s="7"/>
      <c r="AK12" s="7"/>
      <c r="AL12" s="14"/>
      <c r="AM12" s="7">
        <f t="shared" si="40"/>
        <v>0</v>
      </c>
      <c r="AN12" s="14"/>
      <c r="AO12" s="7">
        <f t="shared" si="41"/>
        <v>0</v>
      </c>
      <c r="AP12" s="9"/>
      <c r="AQ12" s="9"/>
      <c r="AR12" s="7"/>
      <c r="AS12" s="7"/>
      <c r="AT12" s="14"/>
      <c r="AU12" s="7">
        <f t="shared" si="42"/>
        <v>0</v>
      </c>
      <c r="AV12" s="14"/>
      <c r="AW12" s="7">
        <f t="shared" si="43"/>
        <v>0</v>
      </c>
      <c r="AX12" s="9"/>
      <c r="AY12" s="9"/>
      <c r="AZ12" s="7"/>
      <c r="BA12" s="7"/>
      <c r="BB12" s="14"/>
      <c r="BC12" s="7">
        <f t="shared" si="44"/>
        <v>0</v>
      </c>
      <c r="BD12" s="14"/>
      <c r="BE12" s="7">
        <f t="shared" si="45"/>
        <v>0</v>
      </c>
      <c r="BF12" s="9"/>
      <c r="BG12" s="9"/>
      <c r="BH12" s="7"/>
      <c r="BI12" s="7"/>
      <c r="BJ12" s="14"/>
      <c r="BK12" s="7">
        <f t="shared" si="46"/>
        <v>0</v>
      </c>
      <c r="BL12" s="14"/>
      <c r="BM12" s="7">
        <f t="shared" si="47"/>
        <v>0</v>
      </c>
      <c r="BN12" s="9"/>
      <c r="BO12" s="9"/>
      <c r="BP12" s="7"/>
      <c r="BQ12" s="7"/>
      <c r="BR12" s="14"/>
      <c r="BS12" s="7">
        <f t="shared" si="48"/>
        <v>0</v>
      </c>
      <c r="BT12" s="14"/>
      <c r="BU12" s="7">
        <f t="shared" si="49"/>
        <v>0</v>
      </c>
      <c r="BV12" s="9"/>
      <c r="BW12" s="9"/>
      <c r="BX12" s="7"/>
      <c r="BY12" s="7"/>
      <c r="BZ12" s="10"/>
      <c r="CA12" s="7">
        <f t="shared" si="50"/>
        <v>0</v>
      </c>
      <c r="CB12" s="14"/>
      <c r="CC12" s="7">
        <f t="shared" si="51"/>
        <v>0</v>
      </c>
      <c r="CD12" s="9"/>
      <c r="CE12" s="9"/>
      <c r="CF12" s="7">
        <v>1866.6666666666665</v>
      </c>
      <c r="CG12" s="7">
        <v>2488.8888888888887</v>
      </c>
      <c r="CH12" s="14">
        <v>0.5</v>
      </c>
      <c r="CI12" s="7">
        <f t="shared" si="52"/>
        <v>933.33333333333326</v>
      </c>
      <c r="CJ12" s="14">
        <v>0.5</v>
      </c>
      <c r="CK12" s="13">
        <f t="shared" si="53"/>
        <v>1244.4444444444443</v>
      </c>
      <c r="CL12" s="9"/>
      <c r="CM12" s="9"/>
      <c r="CN12" s="7">
        <v>1866.6666666666665</v>
      </c>
      <c r="CO12" s="7">
        <v>2488.8888888888887</v>
      </c>
      <c r="CP12" s="14">
        <v>0.5</v>
      </c>
      <c r="CQ12" s="13">
        <f t="shared" si="54"/>
        <v>933.33333333333326</v>
      </c>
      <c r="CR12" s="14">
        <v>0.5</v>
      </c>
      <c r="CS12" s="13">
        <f t="shared" si="55"/>
        <v>1244.4444444444443</v>
      </c>
      <c r="CT12" s="9"/>
      <c r="CU12" s="9"/>
      <c r="CV12" s="7">
        <v>1866.6666666666665</v>
      </c>
      <c r="CW12" s="7">
        <v>2488.8888888888887</v>
      </c>
      <c r="CX12" s="14">
        <v>0.5</v>
      </c>
      <c r="CY12" s="13">
        <f t="shared" si="56"/>
        <v>933.33333333333326</v>
      </c>
      <c r="CZ12" s="14">
        <v>0.5</v>
      </c>
      <c r="DA12" s="7">
        <f t="shared" si="57"/>
        <v>1244.4444444444443</v>
      </c>
      <c r="DB12" s="9"/>
      <c r="DC12" s="9"/>
      <c r="DD12" s="7">
        <f t="shared" si="25"/>
        <v>5600</v>
      </c>
      <c r="DE12" s="7">
        <f t="shared" si="58"/>
        <v>2800</v>
      </c>
      <c r="DF12" s="10">
        <f t="shared" si="59"/>
        <v>0.5</v>
      </c>
      <c r="DG12" s="7">
        <f t="shared" si="60"/>
        <v>7466.6666666666661</v>
      </c>
      <c r="DH12" s="7">
        <f t="shared" si="61"/>
        <v>3733.333333333333</v>
      </c>
      <c r="DI12" s="14">
        <f t="shared" si="62"/>
        <v>0.5</v>
      </c>
      <c r="DJ12" s="11">
        <f t="shared" si="63"/>
        <v>0</v>
      </c>
      <c r="DK12" s="11">
        <f t="shared" si="64"/>
        <v>0</v>
      </c>
      <c r="DL12" s="29" t="s">
        <v>166</v>
      </c>
      <c r="DM12" s="7">
        <v>44800</v>
      </c>
      <c r="DN12" s="7"/>
      <c r="DO12" s="7"/>
      <c r="DP12" s="12">
        <f t="shared" si="32"/>
        <v>0.125</v>
      </c>
      <c r="DQ12" s="15"/>
    </row>
    <row r="13" spans="1:122" x14ac:dyDescent="0.3">
      <c r="A13" s="1" t="s">
        <v>157</v>
      </c>
      <c r="B13" s="1" t="s">
        <v>132</v>
      </c>
      <c r="C13" s="7"/>
      <c r="D13" s="7"/>
      <c r="E13" s="7"/>
      <c r="F13" s="7"/>
      <c r="G13" s="7"/>
      <c r="H13" s="7"/>
      <c r="I13" s="7"/>
      <c r="J13" s="7"/>
      <c r="K13" s="16">
        <f t="shared" si="33"/>
        <v>0</v>
      </c>
      <c r="L13" s="7"/>
      <c r="M13" s="7"/>
      <c r="N13" s="14"/>
      <c r="O13" s="13">
        <f t="shared" si="34"/>
        <v>0</v>
      </c>
      <c r="P13" s="14"/>
      <c r="Q13" s="7">
        <f t="shared" si="35"/>
        <v>0</v>
      </c>
      <c r="R13" s="8"/>
      <c r="S13" s="8"/>
      <c r="T13" s="7"/>
      <c r="U13" s="7"/>
      <c r="V13" s="14"/>
      <c r="W13" s="7">
        <f t="shared" si="36"/>
        <v>0</v>
      </c>
      <c r="X13" s="14"/>
      <c r="Y13" s="7">
        <f t="shared" si="37"/>
        <v>0</v>
      </c>
      <c r="Z13" s="9"/>
      <c r="AA13" s="9"/>
      <c r="AB13" s="7"/>
      <c r="AC13" s="7"/>
      <c r="AD13" s="14"/>
      <c r="AE13" s="7">
        <f t="shared" si="38"/>
        <v>0</v>
      </c>
      <c r="AF13" s="14"/>
      <c r="AG13" s="7">
        <f t="shared" si="39"/>
        <v>0</v>
      </c>
      <c r="AH13" s="9"/>
      <c r="AI13" s="9"/>
      <c r="AJ13" s="7"/>
      <c r="AK13" s="7"/>
      <c r="AL13" s="14"/>
      <c r="AM13" s="7">
        <f t="shared" si="40"/>
        <v>0</v>
      </c>
      <c r="AN13" s="14"/>
      <c r="AO13" s="7">
        <f t="shared" si="41"/>
        <v>0</v>
      </c>
      <c r="AP13" s="9"/>
      <c r="AQ13" s="9"/>
      <c r="AR13" s="7"/>
      <c r="AS13" s="7"/>
      <c r="AT13" s="14"/>
      <c r="AU13" s="7">
        <f t="shared" si="42"/>
        <v>0</v>
      </c>
      <c r="AV13" s="14"/>
      <c r="AW13" s="7">
        <f t="shared" si="43"/>
        <v>0</v>
      </c>
      <c r="AX13" s="9"/>
      <c r="AY13" s="9"/>
      <c r="AZ13" s="7"/>
      <c r="BA13" s="7"/>
      <c r="BB13" s="14"/>
      <c r="BC13" s="7">
        <f t="shared" si="44"/>
        <v>0</v>
      </c>
      <c r="BD13" s="14"/>
      <c r="BE13" s="7">
        <f t="shared" si="45"/>
        <v>0</v>
      </c>
      <c r="BF13" s="9"/>
      <c r="BG13" s="9"/>
      <c r="BH13" s="7"/>
      <c r="BI13" s="7"/>
      <c r="BJ13" s="14"/>
      <c r="BK13" s="7">
        <f t="shared" si="46"/>
        <v>0</v>
      </c>
      <c r="BL13" s="14"/>
      <c r="BM13" s="7">
        <f t="shared" si="47"/>
        <v>0</v>
      </c>
      <c r="BN13" s="9"/>
      <c r="BO13" s="9"/>
      <c r="BP13" s="7"/>
      <c r="BQ13" s="7"/>
      <c r="BR13" s="14"/>
      <c r="BS13" s="7">
        <f t="shared" si="48"/>
        <v>0</v>
      </c>
      <c r="BT13" s="14"/>
      <c r="BU13" s="7">
        <f t="shared" si="49"/>
        <v>0</v>
      </c>
      <c r="BV13" s="9"/>
      <c r="BW13" s="9"/>
      <c r="BX13" s="7"/>
      <c r="BY13" s="7"/>
      <c r="BZ13" s="10"/>
      <c r="CA13" s="7">
        <f t="shared" si="50"/>
        <v>0</v>
      </c>
      <c r="CB13" s="14"/>
      <c r="CC13" s="7">
        <f t="shared" si="51"/>
        <v>0</v>
      </c>
      <c r="CD13" s="9"/>
      <c r="CE13" s="9"/>
      <c r="CF13" s="7">
        <v>3733.333333333333</v>
      </c>
      <c r="CG13" s="7">
        <v>4977.7777777777774</v>
      </c>
      <c r="CH13" s="14">
        <v>0.5</v>
      </c>
      <c r="CI13" s="7">
        <f t="shared" si="52"/>
        <v>1866.6666666666665</v>
      </c>
      <c r="CJ13" s="14">
        <v>0.5</v>
      </c>
      <c r="CK13" s="13">
        <f t="shared" si="53"/>
        <v>2488.8888888888887</v>
      </c>
      <c r="CL13" s="9"/>
      <c r="CM13" s="9"/>
      <c r="CN13" s="7">
        <v>3733.333333333333</v>
      </c>
      <c r="CO13" s="7">
        <v>4977.7777777777774</v>
      </c>
      <c r="CP13" s="14">
        <v>0.5</v>
      </c>
      <c r="CQ13" s="13">
        <f t="shared" si="54"/>
        <v>1866.6666666666665</v>
      </c>
      <c r="CR13" s="14">
        <v>0.5</v>
      </c>
      <c r="CS13" s="13">
        <f t="shared" si="55"/>
        <v>2488.8888888888887</v>
      </c>
      <c r="CT13" s="9"/>
      <c r="CU13" s="9"/>
      <c r="CV13" s="7">
        <v>3733.333333333333</v>
      </c>
      <c r="CW13" s="7">
        <v>4977.7777777777774</v>
      </c>
      <c r="CX13" s="14">
        <v>0.5</v>
      </c>
      <c r="CY13" s="13">
        <f t="shared" si="56"/>
        <v>1866.6666666666665</v>
      </c>
      <c r="CZ13" s="14">
        <v>0.5</v>
      </c>
      <c r="DA13" s="7">
        <f t="shared" si="57"/>
        <v>2488.8888888888887</v>
      </c>
      <c r="DB13" s="9"/>
      <c r="DC13" s="9"/>
      <c r="DD13" s="7">
        <f t="shared" si="25"/>
        <v>11200</v>
      </c>
      <c r="DE13" s="7">
        <f t="shared" si="58"/>
        <v>5600</v>
      </c>
      <c r="DF13" s="10">
        <f t="shared" si="59"/>
        <v>0.5</v>
      </c>
      <c r="DG13" s="7">
        <f t="shared" si="60"/>
        <v>14933.333333333332</v>
      </c>
      <c r="DH13" s="7">
        <f t="shared" si="61"/>
        <v>7466.6666666666661</v>
      </c>
      <c r="DI13" s="14">
        <f t="shared" si="62"/>
        <v>0.5</v>
      </c>
      <c r="DJ13" s="11">
        <f t="shared" si="63"/>
        <v>0</v>
      </c>
      <c r="DK13" s="11">
        <f t="shared" si="64"/>
        <v>0</v>
      </c>
      <c r="DL13" s="29" t="s">
        <v>166</v>
      </c>
      <c r="DM13" s="7">
        <v>224000</v>
      </c>
      <c r="DN13" s="7"/>
      <c r="DO13" s="7"/>
      <c r="DP13" s="12">
        <f t="shared" si="32"/>
        <v>0.05</v>
      </c>
      <c r="DQ13" s="15"/>
    </row>
    <row r="14" spans="1:122" x14ac:dyDescent="0.3">
      <c r="A14" s="1" t="s">
        <v>157</v>
      </c>
      <c r="B14" s="1" t="s">
        <v>133</v>
      </c>
      <c r="C14" s="7"/>
      <c r="D14" s="7"/>
      <c r="E14" s="7"/>
      <c r="F14" s="7"/>
      <c r="G14" s="7"/>
      <c r="H14" s="7"/>
      <c r="I14" s="7"/>
      <c r="J14" s="7"/>
      <c r="K14" s="16">
        <f t="shared" si="33"/>
        <v>0</v>
      </c>
      <c r="L14" s="7"/>
      <c r="M14" s="7"/>
      <c r="N14" s="14"/>
      <c r="O14" s="13">
        <f t="shared" si="34"/>
        <v>0</v>
      </c>
      <c r="P14" s="14"/>
      <c r="Q14" s="7">
        <f t="shared" si="35"/>
        <v>0</v>
      </c>
      <c r="R14" s="8"/>
      <c r="S14" s="8"/>
      <c r="T14" s="7"/>
      <c r="U14" s="7"/>
      <c r="V14" s="14"/>
      <c r="W14" s="7">
        <f t="shared" si="36"/>
        <v>0</v>
      </c>
      <c r="X14" s="14"/>
      <c r="Y14" s="7">
        <f t="shared" si="37"/>
        <v>0</v>
      </c>
      <c r="Z14" s="9"/>
      <c r="AA14" s="9"/>
      <c r="AB14" s="7"/>
      <c r="AC14" s="7"/>
      <c r="AD14" s="14"/>
      <c r="AE14" s="7">
        <f t="shared" si="38"/>
        <v>0</v>
      </c>
      <c r="AF14" s="14"/>
      <c r="AG14" s="7">
        <f t="shared" si="39"/>
        <v>0</v>
      </c>
      <c r="AH14" s="9"/>
      <c r="AI14" s="9"/>
      <c r="AJ14" s="7"/>
      <c r="AK14" s="7"/>
      <c r="AL14" s="14"/>
      <c r="AM14" s="7">
        <f t="shared" si="40"/>
        <v>0</v>
      </c>
      <c r="AN14" s="14"/>
      <c r="AO14" s="7">
        <f t="shared" si="41"/>
        <v>0</v>
      </c>
      <c r="AP14" s="9"/>
      <c r="AQ14" s="9"/>
      <c r="AR14" s="7"/>
      <c r="AS14" s="7"/>
      <c r="AT14" s="14"/>
      <c r="AU14" s="7">
        <f t="shared" si="42"/>
        <v>0</v>
      </c>
      <c r="AV14" s="14"/>
      <c r="AW14" s="7">
        <f t="shared" si="43"/>
        <v>0</v>
      </c>
      <c r="AX14" s="9"/>
      <c r="AY14" s="9"/>
      <c r="AZ14" s="7"/>
      <c r="BA14" s="7"/>
      <c r="BB14" s="14"/>
      <c r="BC14" s="7">
        <f t="shared" si="44"/>
        <v>0</v>
      </c>
      <c r="BD14" s="14"/>
      <c r="BE14" s="7">
        <f t="shared" si="45"/>
        <v>0</v>
      </c>
      <c r="BF14" s="9"/>
      <c r="BG14" s="9"/>
      <c r="BH14" s="7"/>
      <c r="BI14" s="7"/>
      <c r="BJ14" s="14"/>
      <c r="BK14" s="7">
        <f t="shared" si="46"/>
        <v>0</v>
      </c>
      <c r="BL14" s="14"/>
      <c r="BM14" s="7">
        <f t="shared" si="47"/>
        <v>0</v>
      </c>
      <c r="BN14" s="9"/>
      <c r="BO14" s="9"/>
      <c r="BP14" s="7"/>
      <c r="BQ14" s="7"/>
      <c r="BR14" s="14"/>
      <c r="BS14" s="7">
        <f t="shared" si="48"/>
        <v>0</v>
      </c>
      <c r="BT14" s="14"/>
      <c r="BU14" s="7">
        <f t="shared" si="49"/>
        <v>0</v>
      </c>
      <c r="BV14" s="9"/>
      <c r="BW14" s="9"/>
      <c r="BX14" s="7"/>
      <c r="BY14" s="7"/>
      <c r="BZ14" s="10"/>
      <c r="CA14" s="7">
        <f t="shared" si="50"/>
        <v>0</v>
      </c>
      <c r="CB14" s="14"/>
      <c r="CC14" s="7">
        <f t="shared" si="51"/>
        <v>0</v>
      </c>
      <c r="CD14" s="9"/>
      <c r="CE14" s="9"/>
      <c r="CF14" s="7">
        <v>18666.666666666668</v>
      </c>
      <c r="CG14" s="7">
        <v>24888.888888888891</v>
      </c>
      <c r="CH14" s="14">
        <v>0.47</v>
      </c>
      <c r="CI14" s="7">
        <f t="shared" si="52"/>
        <v>8773.3333333333339</v>
      </c>
      <c r="CJ14" s="14">
        <v>0.47</v>
      </c>
      <c r="CK14" s="13">
        <f t="shared" si="53"/>
        <v>11697.777777777777</v>
      </c>
      <c r="CL14" s="9"/>
      <c r="CM14" s="9"/>
      <c r="CN14" s="7">
        <v>18666.666666666668</v>
      </c>
      <c r="CO14" s="7">
        <v>24888.888888888891</v>
      </c>
      <c r="CP14" s="14">
        <v>0.47</v>
      </c>
      <c r="CQ14" s="13">
        <f t="shared" si="54"/>
        <v>8773.3333333333339</v>
      </c>
      <c r="CR14" s="14">
        <v>0.47</v>
      </c>
      <c r="CS14" s="13">
        <f t="shared" si="55"/>
        <v>11697.777777777777</v>
      </c>
      <c r="CT14" s="9"/>
      <c r="CU14" s="9"/>
      <c r="CV14" s="7">
        <v>18666.666666666668</v>
      </c>
      <c r="CW14" s="7">
        <v>24888.888888888891</v>
      </c>
      <c r="CX14" s="14">
        <v>0.47</v>
      </c>
      <c r="CY14" s="13">
        <f t="shared" si="56"/>
        <v>8773.3333333333339</v>
      </c>
      <c r="CZ14" s="14">
        <v>0.47</v>
      </c>
      <c r="DA14" s="7">
        <f t="shared" si="57"/>
        <v>11697.777777777777</v>
      </c>
      <c r="DB14" s="9"/>
      <c r="DC14" s="9"/>
      <c r="DD14" s="7">
        <f t="shared" si="25"/>
        <v>56000</v>
      </c>
      <c r="DE14" s="7">
        <f t="shared" si="58"/>
        <v>26320</v>
      </c>
      <c r="DF14" s="10">
        <f t="shared" si="59"/>
        <v>0.47</v>
      </c>
      <c r="DG14" s="7">
        <f t="shared" si="60"/>
        <v>74666.666666666672</v>
      </c>
      <c r="DH14" s="7">
        <f t="shared" si="61"/>
        <v>35093.333333333328</v>
      </c>
      <c r="DI14" s="14">
        <f t="shared" si="62"/>
        <v>0.46999999999999992</v>
      </c>
      <c r="DJ14" s="11">
        <f t="shared" si="63"/>
        <v>0</v>
      </c>
      <c r="DK14" s="11">
        <f t="shared" si="64"/>
        <v>0</v>
      </c>
      <c r="DL14" s="29" t="s">
        <v>165</v>
      </c>
      <c r="DM14" s="7">
        <v>2240000</v>
      </c>
      <c r="DN14" s="7"/>
      <c r="DO14" s="7"/>
      <c r="DP14" s="12">
        <f t="shared" si="32"/>
        <v>2.5000000000000001E-2</v>
      </c>
      <c r="DQ14" s="15"/>
    </row>
    <row r="15" spans="1:122" x14ac:dyDescent="0.3">
      <c r="A15" s="1" t="s">
        <v>156</v>
      </c>
      <c r="B15" s="1" t="s">
        <v>134</v>
      </c>
      <c r="C15" s="7"/>
      <c r="D15" s="7"/>
      <c r="E15" s="7"/>
      <c r="F15" s="7"/>
      <c r="G15" s="7"/>
      <c r="H15" s="7"/>
      <c r="I15" s="7"/>
      <c r="J15" s="7"/>
      <c r="K15" s="16">
        <f t="shared" si="33"/>
        <v>0</v>
      </c>
      <c r="L15" s="7"/>
      <c r="M15" s="7"/>
      <c r="N15" s="14"/>
      <c r="O15" s="13">
        <f t="shared" si="34"/>
        <v>0</v>
      </c>
      <c r="P15" s="14"/>
      <c r="Q15" s="7">
        <f t="shared" si="35"/>
        <v>0</v>
      </c>
      <c r="R15" s="8"/>
      <c r="S15" s="8"/>
      <c r="T15" s="7"/>
      <c r="U15" s="7"/>
      <c r="V15" s="14"/>
      <c r="W15" s="7">
        <f t="shared" si="36"/>
        <v>0</v>
      </c>
      <c r="X15" s="14"/>
      <c r="Y15" s="7">
        <f t="shared" si="37"/>
        <v>0</v>
      </c>
      <c r="Z15" s="9"/>
      <c r="AA15" s="9"/>
      <c r="AB15" s="7"/>
      <c r="AC15" s="7"/>
      <c r="AD15" s="14"/>
      <c r="AE15" s="7">
        <f t="shared" si="38"/>
        <v>0</v>
      </c>
      <c r="AF15" s="14"/>
      <c r="AG15" s="7">
        <f t="shared" si="39"/>
        <v>0</v>
      </c>
      <c r="AH15" s="9"/>
      <c r="AI15" s="9"/>
      <c r="AJ15" s="7"/>
      <c r="AK15" s="7"/>
      <c r="AL15" s="14"/>
      <c r="AM15" s="7">
        <f t="shared" si="40"/>
        <v>0</v>
      </c>
      <c r="AN15" s="14"/>
      <c r="AO15" s="7">
        <f t="shared" si="41"/>
        <v>0</v>
      </c>
      <c r="AP15" s="9"/>
      <c r="AQ15" s="9"/>
      <c r="AR15" s="7"/>
      <c r="AS15" s="7"/>
      <c r="AT15" s="14"/>
      <c r="AU15" s="7">
        <f t="shared" si="42"/>
        <v>0</v>
      </c>
      <c r="AV15" s="14"/>
      <c r="AW15" s="7">
        <f t="shared" si="43"/>
        <v>0</v>
      </c>
      <c r="AX15" s="9"/>
      <c r="AY15" s="9"/>
      <c r="AZ15" s="7"/>
      <c r="BA15" s="7"/>
      <c r="BB15" s="14"/>
      <c r="BC15" s="7">
        <f t="shared" si="44"/>
        <v>0</v>
      </c>
      <c r="BD15" s="14"/>
      <c r="BE15" s="7">
        <f t="shared" si="45"/>
        <v>0</v>
      </c>
      <c r="BF15" s="9"/>
      <c r="BG15" s="9"/>
      <c r="BH15" s="7"/>
      <c r="BI15" s="7"/>
      <c r="BJ15" s="14"/>
      <c r="BK15" s="7">
        <f t="shared" si="46"/>
        <v>0</v>
      </c>
      <c r="BL15" s="14"/>
      <c r="BM15" s="7">
        <f t="shared" si="47"/>
        <v>0</v>
      </c>
      <c r="BN15" s="9"/>
      <c r="BO15" s="9"/>
      <c r="BP15" s="7"/>
      <c r="BQ15" s="7"/>
      <c r="BR15" s="14"/>
      <c r="BS15" s="7">
        <f t="shared" si="48"/>
        <v>0</v>
      </c>
      <c r="BT15" s="14"/>
      <c r="BU15" s="7">
        <f t="shared" si="49"/>
        <v>0</v>
      </c>
      <c r="BV15" s="9"/>
      <c r="BW15" s="9"/>
      <c r="BX15" s="7"/>
      <c r="BY15" s="7"/>
      <c r="BZ15" s="10"/>
      <c r="CA15" s="7">
        <f t="shared" si="50"/>
        <v>0</v>
      </c>
      <c r="CB15" s="14"/>
      <c r="CC15" s="7">
        <f t="shared" si="51"/>
        <v>0</v>
      </c>
      <c r="CD15" s="9"/>
      <c r="CE15" s="9"/>
      <c r="CF15" s="7">
        <v>1866.6666666666665</v>
      </c>
      <c r="CG15" s="7">
        <v>2488.8888888888887</v>
      </c>
      <c r="CH15" s="14">
        <v>0.5</v>
      </c>
      <c r="CI15" s="7">
        <f t="shared" si="52"/>
        <v>933.33333333333326</v>
      </c>
      <c r="CJ15" s="14">
        <v>0.5</v>
      </c>
      <c r="CK15" s="13">
        <f t="shared" si="53"/>
        <v>1244.4444444444443</v>
      </c>
      <c r="CL15" s="9"/>
      <c r="CM15" s="9"/>
      <c r="CN15" s="7">
        <v>1866.6666666666665</v>
      </c>
      <c r="CO15" s="7">
        <v>2488.8888888888887</v>
      </c>
      <c r="CP15" s="14">
        <v>0.5</v>
      </c>
      <c r="CQ15" s="13">
        <f t="shared" si="54"/>
        <v>933.33333333333326</v>
      </c>
      <c r="CR15" s="14">
        <v>0.5</v>
      </c>
      <c r="CS15" s="13">
        <f t="shared" si="55"/>
        <v>1244.4444444444443</v>
      </c>
      <c r="CT15" s="9"/>
      <c r="CU15" s="9"/>
      <c r="CV15" s="7">
        <v>1866.6666666666665</v>
      </c>
      <c r="CW15" s="7">
        <v>2488.8888888888887</v>
      </c>
      <c r="CX15" s="14">
        <v>0.5</v>
      </c>
      <c r="CY15" s="13">
        <f t="shared" si="56"/>
        <v>933.33333333333326</v>
      </c>
      <c r="CZ15" s="14">
        <v>0.5</v>
      </c>
      <c r="DA15" s="7">
        <f t="shared" si="57"/>
        <v>1244.4444444444443</v>
      </c>
      <c r="DB15" s="9"/>
      <c r="DC15" s="9"/>
      <c r="DD15" s="7">
        <f t="shared" si="25"/>
        <v>5600</v>
      </c>
      <c r="DE15" s="7">
        <f t="shared" si="58"/>
        <v>2800</v>
      </c>
      <c r="DF15" s="10">
        <f t="shared" si="59"/>
        <v>0.5</v>
      </c>
      <c r="DG15" s="7">
        <f t="shared" si="60"/>
        <v>7466.6666666666661</v>
      </c>
      <c r="DH15" s="7">
        <f t="shared" si="61"/>
        <v>3733.333333333333</v>
      </c>
      <c r="DI15" s="14">
        <f t="shared" si="62"/>
        <v>0.5</v>
      </c>
      <c r="DJ15" s="11">
        <f t="shared" si="63"/>
        <v>0</v>
      </c>
      <c r="DK15" s="11">
        <f t="shared" si="64"/>
        <v>0</v>
      </c>
      <c r="DL15" s="29" t="s">
        <v>166</v>
      </c>
      <c r="DM15" s="7">
        <v>67200</v>
      </c>
      <c r="DN15" s="7"/>
      <c r="DO15" s="7"/>
      <c r="DP15" s="12">
        <f t="shared" si="32"/>
        <v>8.3333333333333329E-2</v>
      </c>
      <c r="DQ15" s="15"/>
    </row>
    <row r="16" spans="1:122" x14ac:dyDescent="0.3">
      <c r="A16" s="1" t="s">
        <v>157</v>
      </c>
      <c r="B16" s="1" t="s">
        <v>135</v>
      </c>
      <c r="C16" s="7"/>
      <c r="D16" s="7"/>
      <c r="E16" s="7"/>
      <c r="F16" s="7"/>
      <c r="G16" s="7"/>
      <c r="H16" s="7"/>
      <c r="I16" s="7"/>
      <c r="J16" s="7"/>
      <c r="K16" s="16">
        <f t="shared" si="33"/>
        <v>0</v>
      </c>
      <c r="L16" s="7"/>
      <c r="M16" s="7"/>
      <c r="N16" s="14"/>
      <c r="O16" s="13">
        <f t="shared" si="34"/>
        <v>0</v>
      </c>
      <c r="P16" s="14"/>
      <c r="Q16" s="7">
        <f t="shared" si="35"/>
        <v>0</v>
      </c>
      <c r="R16" s="8"/>
      <c r="S16" s="8"/>
      <c r="T16" s="7"/>
      <c r="U16" s="7"/>
      <c r="V16" s="14"/>
      <c r="W16" s="7">
        <f t="shared" si="36"/>
        <v>0</v>
      </c>
      <c r="X16" s="14"/>
      <c r="Y16" s="7">
        <f t="shared" si="37"/>
        <v>0</v>
      </c>
      <c r="Z16" s="9"/>
      <c r="AA16" s="9"/>
      <c r="AB16" s="7"/>
      <c r="AC16" s="7"/>
      <c r="AD16" s="14"/>
      <c r="AE16" s="7">
        <f t="shared" si="38"/>
        <v>0</v>
      </c>
      <c r="AF16" s="14"/>
      <c r="AG16" s="7">
        <f t="shared" si="39"/>
        <v>0</v>
      </c>
      <c r="AH16" s="9"/>
      <c r="AI16" s="9"/>
      <c r="AJ16" s="7"/>
      <c r="AK16" s="7"/>
      <c r="AL16" s="14"/>
      <c r="AM16" s="7">
        <f t="shared" si="40"/>
        <v>0</v>
      </c>
      <c r="AN16" s="14"/>
      <c r="AO16" s="7">
        <f t="shared" si="41"/>
        <v>0</v>
      </c>
      <c r="AP16" s="9"/>
      <c r="AQ16" s="9"/>
      <c r="AR16" s="7"/>
      <c r="AS16" s="7"/>
      <c r="AT16" s="14"/>
      <c r="AU16" s="7">
        <f t="shared" si="42"/>
        <v>0</v>
      </c>
      <c r="AV16" s="14"/>
      <c r="AW16" s="7">
        <f t="shared" si="43"/>
        <v>0</v>
      </c>
      <c r="AX16" s="9"/>
      <c r="AY16" s="9"/>
      <c r="AZ16" s="7"/>
      <c r="BA16" s="7"/>
      <c r="BB16" s="14"/>
      <c r="BC16" s="7">
        <f t="shared" si="44"/>
        <v>0</v>
      </c>
      <c r="BD16" s="14"/>
      <c r="BE16" s="7">
        <f t="shared" si="45"/>
        <v>0</v>
      </c>
      <c r="BF16" s="9"/>
      <c r="BG16" s="9"/>
      <c r="BH16" s="7"/>
      <c r="BI16" s="7"/>
      <c r="BJ16" s="14"/>
      <c r="BK16" s="7">
        <f t="shared" si="46"/>
        <v>0</v>
      </c>
      <c r="BL16" s="14"/>
      <c r="BM16" s="7">
        <f t="shared" si="47"/>
        <v>0</v>
      </c>
      <c r="BN16" s="9"/>
      <c r="BO16" s="9"/>
      <c r="BP16" s="7"/>
      <c r="BQ16" s="7"/>
      <c r="BR16" s="14"/>
      <c r="BS16" s="7">
        <f t="shared" si="48"/>
        <v>0</v>
      </c>
      <c r="BT16" s="14"/>
      <c r="BU16" s="7">
        <f t="shared" si="49"/>
        <v>0</v>
      </c>
      <c r="BV16" s="9"/>
      <c r="BW16" s="9"/>
      <c r="BX16" s="7"/>
      <c r="BY16" s="7"/>
      <c r="BZ16" s="10"/>
      <c r="CA16" s="7">
        <f t="shared" si="50"/>
        <v>0</v>
      </c>
      <c r="CB16" s="14"/>
      <c r="CC16" s="7">
        <f t="shared" si="51"/>
        <v>0</v>
      </c>
      <c r="CD16" s="9"/>
      <c r="CE16" s="9"/>
      <c r="CF16" s="7">
        <v>0</v>
      </c>
      <c r="CG16" s="7">
        <v>0</v>
      </c>
      <c r="CH16" s="14">
        <v>0.45</v>
      </c>
      <c r="CI16" s="7">
        <f t="shared" si="52"/>
        <v>0</v>
      </c>
      <c r="CJ16" s="14">
        <v>0.45</v>
      </c>
      <c r="CK16" s="13">
        <f t="shared" si="53"/>
        <v>0</v>
      </c>
      <c r="CL16" s="9"/>
      <c r="CM16" s="9"/>
      <c r="CN16" s="7">
        <v>0</v>
      </c>
      <c r="CO16" s="7">
        <v>0</v>
      </c>
      <c r="CP16" s="14">
        <v>0.45</v>
      </c>
      <c r="CQ16" s="13">
        <f t="shared" si="54"/>
        <v>0</v>
      </c>
      <c r="CR16" s="14">
        <v>0.45</v>
      </c>
      <c r="CS16" s="13">
        <f t="shared" si="55"/>
        <v>0</v>
      </c>
      <c r="CT16" s="9"/>
      <c r="CU16" s="9"/>
      <c r="CV16" s="7">
        <v>0</v>
      </c>
      <c r="CW16" s="7">
        <v>0</v>
      </c>
      <c r="CX16" s="14">
        <v>0.45</v>
      </c>
      <c r="CY16" s="13">
        <f t="shared" si="56"/>
        <v>0</v>
      </c>
      <c r="CZ16" s="14">
        <v>0.45</v>
      </c>
      <c r="DA16" s="7">
        <f t="shared" si="57"/>
        <v>0</v>
      </c>
      <c r="DB16" s="9"/>
      <c r="DC16" s="9"/>
      <c r="DD16" s="7">
        <f t="shared" si="25"/>
        <v>0</v>
      </c>
      <c r="DE16" s="7">
        <f t="shared" si="58"/>
        <v>0</v>
      </c>
      <c r="DF16" s="10" t="e">
        <f t="shared" si="59"/>
        <v>#DIV/0!</v>
      </c>
      <c r="DG16" s="7">
        <f t="shared" si="60"/>
        <v>0</v>
      </c>
      <c r="DH16" s="7">
        <f t="shared" si="61"/>
        <v>0</v>
      </c>
      <c r="DI16" s="14" t="e">
        <f t="shared" si="62"/>
        <v>#DIV/0!</v>
      </c>
      <c r="DJ16" s="11">
        <f t="shared" si="63"/>
        <v>0</v>
      </c>
      <c r="DK16" s="11">
        <f t="shared" si="64"/>
        <v>0</v>
      </c>
      <c r="DL16" s="29" t="s">
        <v>165</v>
      </c>
      <c r="DM16" s="7">
        <v>3360000</v>
      </c>
      <c r="DN16" s="7"/>
      <c r="DO16" s="7"/>
      <c r="DP16" s="12">
        <f t="shared" si="32"/>
        <v>0</v>
      </c>
      <c r="DQ16" s="15"/>
    </row>
    <row r="17" spans="1:121" x14ac:dyDescent="0.3">
      <c r="A17" s="1" t="s">
        <v>157</v>
      </c>
      <c r="B17" s="1" t="s">
        <v>136</v>
      </c>
      <c r="C17" s="7"/>
      <c r="D17" s="7"/>
      <c r="E17" s="7"/>
      <c r="F17" s="7"/>
      <c r="G17" s="7"/>
      <c r="H17" s="7"/>
      <c r="I17" s="7"/>
      <c r="J17" s="7"/>
      <c r="K17" s="16">
        <f t="shared" si="33"/>
        <v>0</v>
      </c>
      <c r="L17" s="7"/>
      <c r="M17" s="7"/>
      <c r="N17" s="14"/>
      <c r="O17" s="13">
        <f t="shared" si="34"/>
        <v>0</v>
      </c>
      <c r="P17" s="14"/>
      <c r="Q17" s="7">
        <f t="shared" si="35"/>
        <v>0</v>
      </c>
      <c r="R17" s="8"/>
      <c r="S17" s="8"/>
      <c r="T17" s="7"/>
      <c r="U17" s="7"/>
      <c r="V17" s="14"/>
      <c r="W17" s="7">
        <f t="shared" si="36"/>
        <v>0</v>
      </c>
      <c r="X17" s="14"/>
      <c r="Y17" s="7">
        <f t="shared" si="37"/>
        <v>0</v>
      </c>
      <c r="Z17" s="9"/>
      <c r="AA17" s="9"/>
      <c r="AB17" s="7"/>
      <c r="AC17" s="7"/>
      <c r="AD17" s="14"/>
      <c r="AE17" s="7">
        <f t="shared" si="38"/>
        <v>0</v>
      </c>
      <c r="AF17" s="14"/>
      <c r="AG17" s="7">
        <f t="shared" si="39"/>
        <v>0</v>
      </c>
      <c r="AH17" s="9"/>
      <c r="AI17" s="9"/>
      <c r="AJ17" s="7"/>
      <c r="AK17" s="7"/>
      <c r="AL17" s="14"/>
      <c r="AM17" s="7">
        <f t="shared" si="40"/>
        <v>0</v>
      </c>
      <c r="AN17" s="14"/>
      <c r="AO17" s="7">
        <f t="shared" si="41"/>
        <v>0</v>
      </c>
      <c r="AP17" s="9"/>
      <c r="AQ17" s="9"/>
      <c r="AR17" s="7"/>
      <c r="AS17" s="7"/>
      <c r="AT17" s="14"/>
      <c r="AU17" s="7">
        <f t="shared" si="42"/>
        <v>0</v>
      </c>
      <c r="AV17" s="14"/>
      <c r="AW17" s="7">
        <f t="shared" si="43"/>
        <v>0</v>
      </c>
      <c r="AX17" s="9"/>
      <c r="AY17" s="9"/>
      <c r="AZ17" s="7"/>
      <c r="BA17" s="7"/>
      <c r="BB17" s="14"/>
      <c r="BC17" s="7">
        <f t="shared" si="44"/>
        <v>0</v>
      </c>
      <c r="BD17" s="14"/>
      <c r="BE17" s="7">
        <f t="shared" si="45"/>
        <v>0</v>
      </c>
      <c r="BF17" s="9"/>
      <c r="BG17" s="9"/>
      <c r="BH17" s="7"/>
      <c r="BI17" s="7"/>
      <c r="BJ17" s="14"/>
      <c r="BK17" s="7">
        <f t="shared" si="46"/>
        <v>0</v>
      </c>
      <c r="BL17" s="14"/>
      <c r="BM17" s="7">
        <f t="shared" si="47"/>
        <v>0</v>
      </c>
      <c r="BN17" s="9"/>
      <c r="BO17" s="9"/>
      <c r="BP17" s="7"/>
      <c r="BQ17" s="7"/>
      <c r="BR17" s="14"/>
      <c r="BS17" s="7">
        <f t="shared" si="48"/>
        <v>0</v>
      </c>
      <c r="BT17" s="14"/>
      <c r="BU17" s="7">
        <f t="shared" si="49"/>
        <v>0</v>
      </c>
      <c r="BV17" s="9"/>
      <c r="BW17" s="9"/>
      <c r="BX17" s="7"/>
      <c r="BY17" s="7"/>
      <c r="BZ17" s="10"/>
      <c r="CA17" s="7">
        <f t="shared" si="50"/>
        <v>0</v>
      </c>
      <c r="CB17" s="14"/>
      <c r="CC17" s="7">
        <f t="shared" si="51"/>
        <v>0</v>
      </c>
      <c r="CD17" s="9"/>
      <c r="CE17" s="9"/>
      <c r="CF17" s="7">
        <v>1866.6666666666665</v>
      </c>
      <c r="CG17" s="7">
        <v>2488.8888888888887</v>
      </c>
      <c r="CH17" s="14">
        <v>0.5</v>
      </c>
      <c r="CI17" s="7">
        <f t="shared" si="52"/>
        <v>933.33333333333326</v>
      </c>
      <c r="CJ17" s="14">
        <v>0.5</v>
      </c>
      <c r="CK17" s="13">
        <f t="shared" si="53"/>
        <v>1244.4444444444443</v>
      </c>
      <c r="CL17" s="9"/>
      <c r="CM17" s="9"/>
      <c r="CN17" s="7">
        <v>1866.6666666666665</v>
      </c>
      <c r="CO17" s="7">
        <v>2488.8888888888887</v>
      </c>
      <c r="CP17" s="14">
        <v>0.5</v>
      </c>
      <c r="CQ17" s="13">
        <f t="shared" si="54"/>
        <v>933.33333333333326</v>
      </c>
      <c r="CR17" s="14">
        <v>0.5</v>
      </c>
      <c r="CS17" s="13">
        <f t="shared" si="55"/>
        <v>1244.4444444444443</v>
      </c>
      <c r="CT17" s="9"/>
      <c r="CU17" s="9"/>
      <c r="CV17" s="7">
        <v>1866.6666666666665</v>
      </c>
      <c r="CW17" s="7">
        <v>2488.8888888888887</v>
      </c>
      <c r="CX17" s="14">
        <v>0.5</v>
      </c>
      <c r="CY17" s="13">
        <f t="shared" si="56"/>
        <v>933.33333333333326</v>
      </c>
      <c r="CZ17" s="14">
        <v>0.5</v>
      </c>
      <c r="DA17" s="7">
        <f t="shared" si="57"/>
        <v>1244.4444444444443</v>
      </c>
      <c r="DB17" s="9"/>
      <c r="DC17" s="9"/>
      <c r="DD17" s="7">
        <f t="shared" si="25"/>
        <v>5600</v>
      </c>
      <c r="DE17" s="7">
        <f t="shared" si="58"/>
        <v>2800</v>
      </c>
      <c r="DF17" s="10">
        <f t="shared" si="59"/>
        <v>0.5</v>
      </c>
      <c r="DG17" s="7">
        <f t="shared" si="60"/>
        <v>7466.6666666666661</v>
      </c>
      <c r="DH17" s="7">
        <f t="shared" si="61"/>
        <v>3733.333333333333</v>
      </c>
      <c r="DI17" s="14">
        <f t="shared" si="62"/>
        <v>0.5</v>
      </c>
      <c r="DJ17" s="11">
        <f t="shared" si="63"/>
        <v>0</v>
      </c>
      <c r="DK17" s="11">
        <f t="shared" si="64"/>
        <v>0</v>
      </c>
      <c r="DL17" s="29" t="s">
        <v>166</v>
      </c>
      <c r="DM17" s="7">
        <v>112000</v>
      </c>
      <c r="DN17" s="7"/>
      <c r="DO17" s="7"/>
      <c r="DP17" s="12">
        <f t="shared" si="32"/>
        <v>0.05</v>
      </c>
      <c r="DQ17" s="15"/>
    </row>
    <row r="18" spans="1:121" x14ac:dyDescent="0.3">
      <c r="A18" s="1" t="s">
        <v>157</v>
      </c>
      <c r="B18" s="1" t="s">
        <v>137</v>
      </c>
      <c r="C18" s="7"/>
      <c r="D18" s="7"/>
      <c r="E18" s="7"/>
      <c r="F18" s="7"/>
      <c r="G18" s="7"/>
      <c r="H18" s="7"/>
      <c r="I18" s="7"/>
      <c r="J18" s="7"/>
      <c r="K18" s="16">
        <f t="shared" si="33"/>
        <v>0</v>
      </c>
      <c r="L18" s="7"/>
      <c r="M18" s="7"/>
      <c r="N18" s="14"/>
      <c r="O18" s="13">
        <f t="shared" si="34"/>
        <v>0</v>
      </c>
      <c r="P18" s="14"/>
      <c r="Q18" s="7">
        <f t="shared" si="35"/>
        <v>0</v>
      </c>
      <c r="R18" s="8"/>
      <c r="S18" s="8"/>
      <c r="T18" s="7"/>
      <c r="U18" s="7"/>
      <c r="V18" s="14"/>
      <c r="W18" s="7">
        <f t="shared" si="36"/>
        <v>0</v>
      </c>
      <c r="X18" s="14"/>
      <c r="Y18" s="7">
        <f t="shared" si="37"/>
        <v>0</v>
      </c>
      <c r="Z18" s="9"/>
      <c r="AA18" s="9"/>
      <c r="AB18" s="7"/>
      <c r="AC18" s="7"/>
      <c r="AD18" s="14"/>
      <c r="AE18" s="7">
        <f t="shared" si="38"/>
        <v>0</v>
      </c>
      <c r="AF18" s="14"/>
      <c r="AG18" s="7">
        <f t="shared" si="39"/>
        <v>0</v>
      </c>
      <c r="AH18" s="9"/>
      <c r="AI18" s="9"/>
      <c r="AJ18" s="7"/>
      <c r="AK18" s="7"/>
      <c r="AL18" s="14"/>
      <c r="AM18" s="7">
        <f t="shared" si="40"/>
        <v>0</v>
      </c>
      <c r="AN18" s="14"/>
      <c r="AO18" s="7">
        <f t="shared" si="41"/>
        <v>0</v>
      </c>
      <c r="AP18" s="9"/>
      <c r="AQ18" s="9"/>
      <c r="AR18" s="7"/>
      <c r="AS18" s="7"/>
      <c r="AT18" s="14"/>
      <c r="AU18" s="7">
        <f t="shared" si="42"/>
        <v>0</v>
      </c>
      <c r="AV18" s="14"/>
      <c r="AW18" s="7">
        <f t="shared" si="43"/>
        <v>0</v>
      </c>
      <c r="AX18" s="9"/>
      <c r="AY18" s="9"/>
      <c r="AZ18" s="7"/>
      <c r="BA18" s="7"/>
      <c r="BB18" s="14"/>
      <c r="BC18" s="7">
        <f t="shared" si="44"/>
        <v>0</v>
      </c>
      <c r="BD18" s="14"/>
      <c r="BE18" s="7">
        <f t="shared" si="45"/>
        <v>0</v>
      </c>
      <c r="BF18" s="9"/>
      <c r="BG18" s="9"/>
      <c r="BH18" s="7"/>
      <c r="BI18" s="7"/>
      <c r="BJ18" s="14"/>
      <c r="BK18" s="7">
        <f t="shared" si="46"/>
        <v>0</v>
      </c>
      <c r="BL18" s="14"/>
      <c r="BM18" s="7">
        <f t="shared" si="47"/>
        <v>0</v>
      </c>
      <c r="BN18" s="9"/>
      <c r="BO18" s="9"/>
      <c r="BP18" s="7"/>
      <c r="BQ18" s="7"/>
      <c r="BR18" s="14"/>
      <c r="BS18" s="7">
        <f t="shared" si="48"/>
        <v>0</v>
      </c>
      <c r="BT18" s="14"/>
      <c r="BU18" s="7">
        <f t="shared" si="49"/>
        <v>0</v>
      </c>
      <c r="BV18" s="9"/>
      <c r="BW18" s="9"/>
      <c r="BX18" s="7"/>
      <c r="BY18" s="7"/>
      <c r="BZ18" s="10"/>
      <c r="CA18" s="7">
        <f t="shared" si="50"/>
        <v>0</v>
      </c>
      <c r="CB18" s="14"/>
      <c r="CC18" s="7">
        <f t="shared" si="51"/>
        <v>0</v>
      </c>
      <c r="CD18" s="9"/>
      <c r="CE18" s="9"/>
      <c r="CF18" s="7">
        <v>1866.6666666666665</v>
      </c>
      <c r="CG18" s="7">
        <v>2488.8888888888887</v>
      </c>
      <c r="CH18" s="14">
        <v>0.5</v>
      </c>
      <c r="CI18" s="7">
        <f t="shared" si="52"/>
        <v>933.33333333333326</v>
      </c>
      <c r="CJ18" s="14">
        <v>0.5</v>
      </c>
      <c r="CK18" s="13">
        <f t="shared" si="53"/>
        <v>1244.4444444444443</v>
      </c>
      <c r="CL18" s="9"/>
      <c r="CM18" s="9"/>
      <c r="CN18" s="7">
        <v>1866.6666666666665</v>
      </c>
      <c r="CO18" s="7">
        <v>2488.8888888888887</v>
      </c>
      <c r="CP18" s="14">
        <v>0.5</v>
      </c>
      <c r="CQ18" s="13">
        <f t="shared" si="54"/>
        <v>933.33333333333326</v>
      </c>
      <c r="CR18" s="14">
        <v>0.5</v>
      </c>
      <c r="CS18" s="13">
        <f t="shared" si="55"/>
        <v>1244.4444444444443</v>
      </c>
      <c r="CT18" s="9"/>
      <c r="CU18" s="9"/>
      <c r="CV18" s="7">
        <v>1866.6666666666665</v>
      </c>
      <c r="CW18" s="7">
        <v>2488.8888888888887</v>
      </c>
      <c r="CX18" s="14">
        <v>0.5</v>
      </c>
      <c r="CY18" s="13">
        <f t="shared" si="56"/>
        <v>933.33333333333326</v>
      </c>
      <c r="CZ18" s="14">
        <v>0.5</v>
      </c>
      <c r="DA18" s="7">
        <f t="shared" si="57"/>
        <v>1244.4444444444443</v>
      </c>
      <c r="DB18" s="9"/>
      <c r="DC18" s="9"/>
      <c r="DD18" s="7">
        <f t="shared" si="25"/>
        <v>5600</v>
      </c>
      <c r="DE18" s="7">
        <f t="shared" si="58"/>
        <v>2800</v>
      </c>
      <c r="DF18" s="10">
        <f t="shared" si="59"/>
        <v>0.5</v>
      </c>
      <c r="DG18" s="7">
        <f t="shared" si="60"/>
        <v>7466.6666666666661</v>
      </c>
      <c r="DH18" s="7">
        <f t="shared" si="61"/>
        <v>3733.333333333333</v>
      </c>
      <c r="DI18" s="14">
        <f t="shared" si="62"/>
        <v>0.5</v>
      </c>
      <c r="DJ18" s="11">
        <f t="shared" si="63"/>
        <v>0</v>
      </c>
      <c r="DK18" s="11">
        <f t="shared" si="64"/>
        <v>0</v>
      </c>
      <c r="DL18" s="29" t="s">
        <v>166</v>
      </c>
      <c r="DM18" s="7">
        <v>44800</v>
      </c>
      <c r="DN18" s="7"/>
      <c r="DO18" s="7"/>
      <c r="DP18" s="12">
        <f t="shared" si="32"/>
        <v>0.125</v>
      </c>
      <c r="DQ18" s="15"/>
    </row>
    <row r="19" spans="1:121" x14ac:dyDescent="0.3">
      <c r="A19" s="1" t="s">
        <v>157</v>
      </c>
      <c r="B19" s="18" t="s">
        <v>138</v>
      </c>
      <c r="C19" s="7"/>
      <c r="D19" s="7"/>
      <c r="E19" s="7"/>
      <c r="F19" s="7"/>
      <c r="G19" s="7"/>
      <c r="H19" s="7"/>
      <c r="I19" s="7"/>
      <c r="J19" s="7"/>
      <c r="K19" s="16">
        <f t="shared" si="33"/>
        <v>0</v>
      </c>
      <c r="L19" s="7"/>
      <c r="M19" s="7"/>
      <c r="N19" s="14"/>
      <c r="O19" s="13">
        <f t="shared" si="34"/>
        <v>0</v>
      </c>
      <c r="P19" s="14"/>
      <c r="Q19" s="7">
        <f t="shared" si="35"/>
        <v>0</v>
      </c>
      <c r="R19" s="8"/>
      <c r="S19" s="8"/>
      <c r="T19" s="7"/>
      <c r="U19" s="7"/>
      <c r="V19" s="14"/>
      <c r="W19" s="7">
        <f t="shared" si="36"/>
        <v>0</v>
      </c>
      <c r="X19" s="14"/>
      <c r="Y19" s="7">
        <f t="shared" si="37"/>
        <v>0</v>
      </c>
      <c r="Z19" s="9"/>
      <c r="AA19" s="9"/>
      <c r="AB19" s="7"/>
      <c r="AC19" s="7"/>
      <c r="AD19" s="14"/>
      <c r="AE19" s="7">
        <f t="shared" si="38"/>
        <v>0</v>
      </c>
      <c r="AF19" s="14"/>
      <c r="AG19" s="7">
        <f t="shared" si="39"/>
        <v>0</v>
      </c>
      <c r="AH19" s="9"/>
      <c r="AI19" s="9"/>
      <c r="AJ19" s="7"/>
      <c r="AK19" s="7"/>
      <c r="AL19" s="14"/>
      <c r="AM19" s="7">
        <f t="shared" si="40"/>
        <v>0</v>
      </c>
      <c r="AN19" s="14"/>
      <c r="AO19" s="7">
        <f t="shared" si="41"/>
        <v>0</v>
      </c>
      <c r="AP19" s="9"/>
      <c r="AQ19" s="9"/>
      <c r="AR19" s="7"/>
      <c r="AS19" s="7"/>
      <c r="AT19" s="14"/>
      <c r="AU19" s="7">
        <f t="shared" si="42"/>
        <v>0</v>
      </c>
      <c r="AV19" s="14"/>
      <c r="AW19" s="7">
        <f t="shared" si="43"/>
        <v>0</v>
      </c>
      <c r="AX19" s="9"/>
      <c r="AY19" s="9"/>
      <c r="AZ19" s="7"/>
      <c r="BA19" s="7"/>
      <c r="BB19" s="14"/>
      <c r="BC19" s="7">
        <f t="shared" si="44"/>
        <v>0</v>
      </c>
      <c r="BD19" s="14"/>
      <c r="BE19" s="7">
        <f t="shared" si="45"/>
        <v>0</v>
      </c>
      <c r="BF19" s="9"/>
      <c r="BG19" s="9"/>
      <c r="BH19" s="7"/>
      <c r="BI19" s="7"/>
      <c r="BJ19" s="14"/>
      <c r="BK19" s="7">
        <f t="shared" si="46"/>
        <v>0</v>
      </c>
      <c r="BL19" s="14"/>
      <c r="BM19" s="7">
        <f t="shared" si="47"/>
        <v>0</v>
      </c>
      <c r="BN19" s="9"/>
      <c r="BO19" s="9"/>
      <c r="BP19" s="7"/>
      <c r="BQ19" s="7"/>
      <c r="BR19" s="14"/>
      <c r="BS19" s="7">
        <f t="shared" si="48"/>
        <v>0</v>
      </c>
      <c r="BT19" s="14"/>
      <c r="BU19" s="7">
        <f t="shared" si="49"/>
        <v>0</v>
      </c>
      <c r="BV19" s="9"/>
      <c r="BW19" s="9"/>
      <c r="BX19" s="7"/>
      <c r="BY19" s="7"/>
      <c r="BZ19" s="10"/>
      <c r="CA19" s="7">
        <f t="shared" si="50"/>
        <v>0</v>
      </c>
      <c r="CB19" s="14"/>
      <c r="CC19" s="7">
        <f t="shared" si="51"/>
        <v>0</v>
      </c>
      <c r="CD19" s="9"/>
      <c r="CE19" s="9"/>
      <c r="CF19" s="7">
        <v>0</v>
      </c>
      <c r="CG19" s="7">
        <v>0</v>
      </c>
      <c r="CH19" s="14">
        <v>0.5</v>
      </c>
      <c r="CI19" s="7">
        <f t="shared" si="52"/>
        <v>0</v>
      </c>
      <c r="CJ19" s="14">
        <v>0.5</v>
      </c>
      <c r="CK19" s="13">
        <f t="shared" si="53"/>
        <v>0</v>
      </c>
      <c r="CL19" s="9"/>
      <c r="CM19" s="9"/>
      <c r="CN19" s="7">
        <v>0</v>
      </c>
      <c r="CO19" s="7">
        <v>0</v>
      </c>
      <c r="CP19" s="14">
        <v>0.5</v>
      </c>
      <c r="CQ19" s="13">
        <f t="shared" si="54"/>
        <v>0</v>
      </c>
      <c r="CR19" s="14">
        <v>0.5</v>
      </c>
      <c r="CS19" s="13">
        <f t="shared" si="55"/>
        <v>0</v>
      </c>
      <c r="CT19" s="9"/>
      <c r="CU19" s="9"/>
      <c r="CV19" s="7">
        <v>0</v>
      </c>
      <c r="CW19" s="7">
        <v>0</v>
      </c>
      <c r="CX19" s="14">
        <v>0.5</v>
      </c>
      <c r="CY19" s="13">
        <f t="shared" si="56"/>
        <v>0</v>
      </c>
      <c r="CZ19" s="14">
        <v>0.5</v>
      </c>
      <c r="DA19" s="7">
        <f t="shared" si="57"/>
        <v>0</v>
      </c>
      <c r="DB19" s="9"/>
      <c r="DC19" s="9"/>
      <c r="DD19" s="7">
        <f t="shared" si="25"/>
        <v>0</v>
      </c>
      <c r="DE19" s="7">
        <f t="shared" si="58"/>
        <v>0</v>
      </c>
      <c r="DF19" s="10" t="e">
        <f t="shared" si="59"/>
        <v>#DIV/0!</v>
      </c>
      <c r="DG19" s="7">
        <f t="shared" si="60"/>
        <v>0</v>
      </c>
      <c r="DH19" s="7">
        <f t="shared" si="61"/>
        <v>0</v>
      </c>
      <c r="DI19" s="14" t="e">
        <f t="shared" si="62"/>
        <v>#DIV/0!</v>
      </c>
      <c r="DJ19" s="11">
        <f t="shared" si="63"/>
        <v>0</v>
      </c>
      <c r="DK19" s="11">
        <f t="shared" si="64"/>
        <v>0</v>
      </c>
      <c r="DL19" s="29" t="s">
        <v>166</v>
      </c>
      <c r="DM19" s="7">
        <v>224000</v>
      </c>
      <c r="DN19" s="7"/>
      <c r="DO19" s="7"/>
      <c r="DP19" s="12">
        <f t="shared" si="32"/>
        <v>0</v>
      </c>
      <c r="DQ19" s="15"/>
    </row>
    <row r="20" spans="1:121" x14ac:dyDescent="0.3">
      <c r="A20" s="1" t="s">
        <v>156</v>
      </c>
      <c r="B20" s="1" t="s">
        <v>139</v>
      </c>
      <c r="C20" s="7"/>
      <c r="D20" s="7"/>
      <c r="E20" s="7"/>
      <c r="F20" s="7"/>
      <c r="G20" s="7"/>
      <c r="H20" s="7"/>
      <c r="I20" s="7"/>
      <c r="J20" s="7"/>
      <c r="K20" s="16">
        <f t="shared" si="33"/>
        <v>0</v>
      </c>
      <c r="L20" s="7"/>
      <c r="M20" s="7"/>
      <c r="N20" s="14"/>
      <c r="O20" s="13">
        <f t="shared" si="34"/>
        <v>0</v>
      </c>
      <c r="P20" s="14"/>
      <c r="Q20" s="7">
        <f t="shared" si="35"/>
        <v>0</v>
      </c>
      <c r="R20" s="8"/>
      <c r="S20" s="8"/>
      <c r="T20" s="7"/>
      <c r="U20" s="7"/>
      <c r="V20" s="14"/>
      <c r="W20" s="7">
        <f t="shared" si="36"/>
        <v>0</v>
      </c>
      <c r="X20" s="14"/>
      <c r="Y20" s="7">
        <f t="shared" si="37"/>
        <v>0</v>
      </c>
      <c r="Z20" s="9"/>
      <c r="AA20" s="9"/>
      <c r="AB20" s="7"/>
      <c r="AC20" s="7"/>
      <c r="AD20" s="14"/>
      <c r="AE20" s="7">
        <f t="shared" si="38"/>
        <v>0</v>
      </c>
      <c r="AF20" s="14"/>
      <c r="AG20" s="7">
        <f t="shared" si="39"/>
        <v>0</v>
      </c>
      <c r="AH20" s="9"/>
      <c r="AI20" s="9"/>
      <c r="AJ20" s="7"/>
      <c r="AK20" s="7"/>
      <c r="AL20" s="14"/>
      <c r="AM20" s="7">
        <f t="shared" si="40"/>
        <v>0</v>
      </c>
      <c r="AN20" s="14"/>
      <c r="AO20" s="7">
        <f t="shared" si="41"/>
        <v>0</v>
      </c>
      <c r="AP20" s="9"/>
      <c r="AQ20" s="9"/>
      <c r="AR20" s="7"/>
      <c r="AS20" s="7"/>
      <c r="AT20" s="14"/>
      <c r="AU20" s="7">
        <f t="shared" si="42"/>
        <v>0</v>
      </c>
      <c r="AV20" s="14"/>
      <c r="AW20" s="7">
        <f t="shared" si="43"/>
        <v>0</v>
      </c>
      <c r="AX20" s="9"/>
      <c r="AY20" s="9"/>
      <c r="AZ20" s="7"/>
      <c r="BA20" s="7"/>
      <c r="BB20" s="14"/>
      <c r="BC20" s="7">
        <f t="shared" si="44"/>
        <v>0</v>
      </c>
      <c r="BD20" s="14"/>
      <c r="BE20" s="7">
        <f t="shared" si="45"/>
        <v>0</v>
      </c>
      <c r="BF20" s="9"/>
      <c r="BG20" s="9"/>
      <c r="BH20" s="7"/>
      <c r="BI20" s="7"/>
      <c r="BJ20" s="14"/>
      <c r="BK20" s="7">
        <f t="shared" si="46"/>
        <v>0</v>
      </c>
      <c r="BL20" s="14"/>
      <c r="BM20" s="7">
        <f t="shared" si="47"/>
        <v>0</v>
      </c>
      <c r="BN20" s="9"/>
      <c r="BO20" s="9"/>
      <c r="BP20" s="7"/>
      <c r="BQ20" s="7"/>
      <c r="BR20" s="14"/>
      <c r="BS20" s="7">
        <f t="shared" si="48"/>
        <v>0</v>
      </c>
      <c r="BT20" s="14"/>
      <c r="BU20" s="7">
        <f t="shared" si="49"/>
        <v>0</v>
      </c>
      <c r="BV20" s="9"/>
      <c r="BW20" s="9"/>
      <c r="BX20" s="7"/>
      <c r="BY20" s="7"/>
      <c r="BZ20" s="10"/>
      <c r="CA20" s="7">
        <f t="shared" si="50"/>
        <v>0</v>
      </c>
      <c r="CB20" s="14"/>
      <c r="CC20" s="7">
        <f t="shared" si="51"/>
        <v>0</v>
      </c>
      <c r="CD20" s="9"/>
      <c r="CE20" s="9"/>
      <c r="CF20" s="7">
        <v>0</v>
      </c>
      <c r="CG20" s="7">
        <v>0</v>
      </c>
      <c r="CH20" s="14">
        <v>0.5</v>
      </c>
      <c r="CI20" s="7">
        <f t="shared" si="52"/>
        <v>0</v>
      </c>
      <c r="CJ20" s="14">
        <v>0.5</v>
      </c>
      <c r="CK20" s="13">
        <f t="shared" si="53"/>
        <v>0</v>
      </c>
      <c r="CL20" s="9"/>
      <c r="CM20" s="9"/>
      <c r="CN20" s="7">
        <v>0</v>
      </c>
      <c r="CO20" s="7">
        <v>0</v>
      </c>
      <c r="CP20" s="14">
        <v>0.5</v>
      </c>
      <c r="CQ20" s="13">
        <f t="shared" si="54"/>
        <v>0</v>
      </c>
      <c r="CR20" s="14">
        <v>0.5</v>
      </c>
      <c r="CS20" s="13">
        <f t="shared" si="55"/>
        <v>0</v>
      </c>
      <c r="CT20" s="9"/>
      <c r="CU20" s="9"/>
      <c r="CV20" s="7">
        <v>0</v>
      </c>
      <c r="CW20" s="7">
        <v>0</v>
      </c>
      <c r="CX20" s="14">
        <v>0.5</v>
      </c>
      <c r="CY20" s="13">
        <f t="shared" si="56"/>
        <v>0</v>
      </c>
      <c r="CZ20" s="14">
        <v>0.5</v>
      </c>
      <c r="DA20" s="7">
        <f t="shared" si="57"/>
        <v>0</v>
      </c>
      <c r="DB20" s="9"/>
      <c r="DC20" s="9"/>
      <c r="DD20" s="7">
        <f t="shared" si="25"/>
        <v>0</v>
      </c>
      <c r="DE20" s="7">
        <f t="shared" si="58"/>
        <v>0</v>
      </c>
      <c r="DF20" s="10" t="e">
        <f t="shared" si="59"/>
        <v>#DIV/0!</v>
      </c>
      <c r="DG20" s="7">
        <f t="shared" si="60"/>
        <v>0</v>
      </c>
      <c r="DH20" s="7">
        <f t="shared" si="61"/>
        <v>0</v>
      </c>
      <c r="DI20" s="14" t="e">
        <f t="shared" si="62"/>
        <v>#DIV/0!</v>
      </c>
      <c r="DJ20" s="11">
        <f t="shared" si="63"/>
        <v>0</v>
      </c>
      <c r="DK20" s="11">
        <f t="shared" si="64"/>
        <v>0</v>
      </c>
      <c r="DL20" s="29" t="s">
        <v>166</v>
      </c>
      <c r="DM20" s="7">
        <v>224000</v>
      </c>
      <c r="DN20" s="7"/>
      <c r="DO20" s="7"/>
      <c r="DP20" s="12">
        <f t="shared" si="32"/>
        <v>0</v>
      </c>
      <c r="DQ20" s="15"/>
    </row>
    <row r="21" spans="1:121" x14ac:dyDescent="0.3">
      <c r="A21" s="1" t="s">
        <v>157</v>
      </c>
      <c r="B21" s="1" t="s">
        <v>140</v>
      </c>
      <c r="C21" s="7"/>
      <c r="D21" s="7"/>
      <c r="E21" s="7"/>
      <c r="F21" s="7"/>
      <c r="G21" s="7"/>
      <c r="H21" s="7"/>
      <c r="I21" s="7"/>
      <c r="J21" s="7"/>
      <c r="K21" s="16">
        <f t="shared" si="33"/>
        <v>0</v>
      </c>
      <c r="L21" s="7"/>
      <c r="M21" s="7"/>
      <c r="N21" s="14"/>
      <c r="O21" s="13">
        <f t="shared" si="34"/>
        <v>0</v>
      </c>
      <c r="P21" s="14"/>
      <c r="Q21" s="7">
        <f t="shared" si="35"/>
        <v>0</v>
      </c>
      <c r="R21" s="8"/>
      <c r="S21" s="8"/>
      <c r="T21" s="7"/>
      <c r="U21" s="7"/>
      <c r="V21" s="14"/>
      <c r="W21" s="7">
        <f t="shared" si="36"/>
        <v>0</v>
      </c>
      <c r="X21" s="14"/>
      <c r="Y21" s="7">
        <f t="shared" si="37"/>
        <v>0</v>
      </c>
      <c r="Z21" s="9"/>
      <c r="AA21" s="9"/>
      <c r="AB21" s="7"/>
      <c r="AC21" s="7"/>
      <c r="AD21" s="14"/>
      <c r="AE21" s="7">
        <f t="shared" si="38"/>
        <v>0</v>
      </c>
      <c r="AF21" s="14"/>
      <c r="AG21" s="7">
        <f t="shared" si="39"/>
        <v>0</v>
      </c>
      <c r="AH21" s="9"/>
      <c r="AI21" s="9"/>
      <c r="AJ21" s="7"/>
      <c r="AK21" s="7"/>
      <c r="AL21" s="14"/>
      <c r="AM21" s="7">
        <f t="shared" si="40"/>
        <v>0</v>
      </c>
      <c r="AN21" s="14"/>
      <c r="AO21" s="7">
        <f t="shared" si="41"/>
        <v>0</v>
      </c>
      <c r="AP21" s="9"/>
      <c r="AQ21" s="9"/>
      <c r="AR21" s="7"/>
      <c r="AS21" s="7"/>
      <c r="AT21" s="14"/>
      <c r="AU21" s="7">
        <f t="shared" si="42"/>
        <v>0</v>
      </c>
      <c r="AV21" s="14"/>
      <c r="AW21" s="7">
        <f t="shared" si="43"/>
        <v>0</v>
      </c>
      <c r="AX21" s="9"/>
      <c r="AY21" s="9"/>
      <c r="AZ21" s="7"/>
      <c r="BA21" s="7"/>
      <c r="BB21" s="14"/>
      <c r="BC21" s="7">
        <f t="shared" si="44"/>
        <v>0</v>
      </c>
      <c r="BD21" s="14"/>
      <c r="BE21" s="7">
        <f t="shared" si="45"/>
        <v>0</v>
      </c>
      <c r="BF21" s="9"/>
      <c r="BG21" s="9"/>
      <c r="BH21" s="7"/>
      <c r="BI21" s="7"/>
      <c r="BJ21" s="14"/>
      <c r="BK21" s="7">
        <f t="shared" si="46"/>
        <v>0</v>
      </c>
      <c r="BL21" s="14"/>
      <c r="BM21" s="7">
        <f t="shared" si="47"/>
        <v>0</v>
      </c>
      <c r="BN21" s="9"/>
      <c r="BO21" s="9"/>
      <c r="BP21" s="7"/>
      <c r="BQ21" s="7"/>
      <c r="BR21" s="14"/>
      <c r="BS21" s="7">
        <f t="shared" si="48"/>
        <v>0</v>
      </c>
      <c r="BT21" s="14"/>
      <c r="BU21" s="7">
        <f t="shared" si="49"/>
        <v>0</v>
      </c>
      <c r="BV21" s="9"/>
      <c r="BW21" s="9"/>
      <c r="BX21" s="7"/>
      <c r="BY21" s="7"/>
      <c r="BZ21" s="10"/>
      <c r="CA21" s="7">
        <f t="shared" si="50"/>
        <v>0</v>
      </c>
      <c r="CB21" s="14"/>
      <c r="CC21" s="7">
        <f t="shared" si="51"/>
        <v>0</v>
      </c>
      <c r="CD21" s="9"/>
      <c r="CE21" s="9"/>
      <c r="CF21" s="7">
        <v>1866.6666666666665</v>
      </c>
      <c r="CG21" s="7">
        <v>2488.8888888888887</v>
      </c>
      <c r="CH21" s="14">
        <v>0.5</v>
      </c>
      <c r="CI21" s="7">
        <f t="shared" si="52"/>
        <v>933.33333333333326</v>
      </c>
      <c r="CJ21" s="14">
        <v>0.5</v>
      </c>
      <c r="CK21" s="13">
        <f t="shared" si="53"/>
        <v>1244.4444444444443</v>
      </c>
      <c r="CL21" s="9"/>
      <c r="CM21" s="9"/>
      <c r="CN21" s="7">
        <v>1866.6666666666665</v>
      </c>
      <c r="CO21" s="7">
        <v>2488.8888888888887</v>
      </c>
      <c r="CP21" s="14">
        <v>0.5</v>
      </c>
      <c r="CQ21" s="13">
        <f t="shared" si="54"/>
        <v>933.33333333333326</v>
      </c>
      <c r="CR21" s="14">
        <v>0.5</v>
      </c>
      <c r="CS21" s="13">
        <f t="shared" si="55"/>
        <v>1244.4444444444443</v>
      </c>
      <c r="CT21" s="9"/>
      <c r="CU21" s="9"/>
      <c r="CV21" s="7">
        <v>1866.6666666666665</v>
      </c>
      <c r="CW21" s="7">
        <v>2488.8888888888887</v>
      </c>
      <c r="CX21" s="14">
        <v>0.5</v>
      </c>
      <c r="CY21" s="13">
        <f t="shared" si="56"/>
        <v>933.33333333333326</v>
      </c>
      <c r="CZ21" s="14">
        <v>0.5</v>
      </c>
      <c r="DA21" s="7">
        <f t="shared" si="57"/>
        <v>1244.4444444444443</v>
      </c>
      <c r="DB21" s="9"/>
      <c r="DC21" s="9"/>
      <c r="DD21" s="7">
        <f t="shared" si="25"/>
        <v>5600</v>
      </c>
      <c r="DE21" s="7">
        <f t="shared" si="58"/>
        <v>2800</v>
      </c>
      <c r="DF21" s="10">
        <f t="shared" si="59"/>
        <v>0.5</v>
      </c>
      <c r="DG21" s="7">
        <f t="shared" si="60"/>
        <v>7466.6666666666661</v>
      </c>
      <c r="DH21" s="7">
        <f t="shared" si="61"/>
        <v>3733.333333333333</v>
      </c>
      <c r="DI21" s="14">
        <f t="shared" si="62"/>
        <v>0.5</v>
      </c>
      <c r="DJ21" s="11">
        <f t="shared" si="63"/>
        <v>0</v>
      </c>
      <c r="DK21" s="11">
        <f t="shared" si="64"/>
        <v>0</v>
      </c>
      <c r="DL21" s="29" t="s">
        <v>166</v>
      </c>
      <c r="DM21" s="7">
        <v>89600</v>
      </c>
      <c r="DN21" s="7"/>
      <c r="DO21" s="7"/>
      <c r="DP21" s="12">
        <f t="shared" si="32"/>
        <v>6.25E-2</v>
      </c>
      <c r="DQ21" s="15"/>
    </row>
    <row r="22" spans="1:121" x14ac:dyDescent="0.3">
      <c r="A22" s="1" t="s">
        <v>157</v>
      </c>
      <c r="B22" s="1" t="s">
        <v>141</v>
      </c>
      <c r="C22" s="7"/>
      <c r="D22" s="7"/>
      <c r="E22" s="7"/>
      <c r="F22" s="7"/>
      <c r="G22" s="7"/>
      <c r="H22" s="7"/>
      <c r="I22" s="7"/>
      <c r="J22" s="7"/>
      <c r="K22" s="16">
        <f t="shared" si="33"/>
        <v>0</v>
      </c>
      <c r="L22" s="7"/>
      <c r="M22" s="7"/>
      <c r="N22" s="14"/>
      <c r="O22" s="13">
        <f t="shared" si="34"/>
        <v>0</v>
      </c>
      <c r="P22" s="14"/>
      <c r="Q22" s="7">
        <f t="shared" si="35"/>
        <v>0</v>
      </c>
      <c r="R22" s="8"/>
      <c r="S22" s="8"/>
      <c r="T22" s="7"/>
      <c r="U22" s="7"/>
      <c r="V22" s="14"/>
      <c r="W22" s="7">
        <f t="shared" si="36"/>
        <v>0</v>
      </c>
      <c r="X22" s="14"/>
      <c r="Y22" s="7">
        <f t="shared" si="37"/>
        <v>0</v>
      </c>
      <c r="Z22" s="9"/>
      <c r="AA22" s="9"/>
      <c r="AB22" s="7"/>
      <c r="AC22" s="7"/>
      <c r="AD22" s="14"/>
      <c r="AE22" s="7">
        <f t="shared" si="38"/>
        <v>0</v>
      </c>
      <c r="AF22" s="14"/>
      <c r="AG22" s="7">
        <f t="shared" si="39"/>
        <v>0</v>
      </c>
      <c r="AH22" s="9"/>
      <c r="AI22" s="9"/>
      <c r="AJ22" s="7"/>
      <c r="AK22" s="7"/>
      <c r="AL22" s="14"/>
      <c r="AM22" s="7">
        <f t="shared" si="40"/>
        <v>0</v>
      </c>
      <c r="AN22" s="14"/>
      <c r="AO22" s="7">
        <f t="shared" si="41"/>
        <v>0</v>
      </c>
      <c r="AP22" s="9"/>
      <c r="AQ22" s="9"/>
      <c r="AR22" s="7"/>
      <c r="AS22" s="7"/>
      <c r="AT22" s="14"/>
      <c r="AU22" s="7">
        <f t="shared" si="42"/>
        <v>0</v>
      </c>
      <c r="AV22" s="14"/>
      <c r="AW22" s="7">
        <f t="shared" si="43"/>
        <v>0</v>
      </c>
      <c r="AX22" s="9"/>
      <c r="AY22" s="9"/>
      <c r="AZ22" s="7"/>
      <c r="BA22" s="7"/>
      <c r="BB22" s="14"/>
      <c r="BC22" s="7">
        <f t="shared" si="44"/>
        <v>0</v>
      </c>
      <c r="BD22" s="14"/>
      <c r="BE22" s="7">
        <f t="shared" si="45"/>
        <v>0</v>
      </c>
      <c r="BF22" s="9"/>
      <c r="BG22" s="9"/>
      <c r="BH22" s="7"/>
      <c r="BI22" s="7"/>
      <c r="BJ22" s="14"/>
      <c r="BK22" s="7">
        <f t="shared" si="46"/>
        <v>0</v>
      </c>
      <c r="BL22" s="14"/>
      <c r="BM22" s="7">
        <f t="shared" si="47"/>
        <v>0</v>
      </c>
      <c r="BN22" s="9"/>
      <c r="BO22" s="9"/>
      <c r="BP22" s="7"/>
      <c r="BQ22" s="7"/>
      <c r="BR22" s="14"/>
      <c r="BS22" s="7">
        <f t="shared" si="48"/>
        <v>0</v>
      </c>
      <c r="BT22" s="14"/>
      <c r="BU22" s="7">
        <f t="shared" si="49"/>
        <v>0</v>
      </c>
      <c r="BV22" s="9"/>
      <c r="BW22" s="9"/>
      <c r="BX22" s="7"/>
      <c r="BY22" s="7"/>
      <c r="BZ22" s="10"/>
      <c r="CA22" s="7">
        <f t="shared" si="50"/>
        <v>0</v>
      </c>
      <c r="CB22" s="14"/>
      <c r="CC22" s="7">
        <f t="shared" si="51"/>
        <v>0</v>
      </c>
      <c r="CD22" s="9"/>
      <c r="CE22" s="9"/>
      <c r="CF22" s="7">
        <v>1866.6666666666665</v>
      </c>
      <c r="CG22" s="7">
        <v>2488.8888888888887</v>
      </c>
      <c r="CH22" s="14">
        <v>0.5</v>
      </c>
      <c r="CI22" s="7">
        <f t="shared" si="52"/>
        <v>933.33333333333326</v>
      </c>
      <c r="CJ22" s="14">
        <v>0.5</v>
      </c>
      <c r="CK22" s="13">
        <f t="shared" si="53"/>
        <v>1244.4444444444443</v>
      </c>
      <c r="CL22" s="9"/>
      <c r="CM22" s="9"/>
      <c r="CN22" s="7">
        <v>1866.6666666666665</v>
      </c>
      <c r="CO22" s="7">
        <v>2488.8888888888887</v>
      </c>
      <c r="CP22" s="14">
        <v>0.5</v>
      </c>
      <c r="CQ22" s="13">
        <f t="shared" si="54"/>
        <v>933.33333333333326</v>
      </c>
      <c r="CR22" s="14">
        <v>0.5</v>
      </c>
      <c r="CS22" s="13">
        <f t="shared" si="55"/>
        <v>1244.4444444444443</v>
      </c>
      <c r="CT22" s="9"/>
      <c r="CU22" s="9"/>
      <c r="CV22" s="7">
        <v>1866.6666666666665</v>
      </c>
      <c r="CW22" s="7">
        <v>2488.8888888888887</v>
      </c>
      <c r="CX22" s="14">
        <v>0.5</v>
      </c>
      <c r="CY22" s="13">
        <f t="shared" si="56"/>
        <v>933.33333333333326</v>
      </c>
      <c r="CZ22" s="14">
        <v>0.5</v>
      </c>
      <c r="DA22" s="7">
        <f t="shared" si="57"/>
        <v>1244.4444444444443</v>
      </c>
      <c r="DB22" s="9"/>
      <c r="DC22" s="9"/>
      <c r="DD22" s="7">
        <f t="shared" si="25"/>
        <v>5600</v>
      </c>
      <c r="DE22" s="7">
        <f t="shared" si="58"/>
        <v>2800</v>
      </c>
      <c r="DF22" s="10">
        <f t="shared" si="59"/>
        <v>0.5</v>
      </c>
      <c r="DG22" s="7">
        <f t="shared" si="60"/>
        <v>7466.6666666666661</v>
      </c>
      <c r="DH22" s="7">
        <f t="shared" si="61"/>
        <v>3733.333333333333</v>
      </c>
      <c r="DI22" s="14">
        <f t="shared" si="62"/>
        <v>0.5</v>
      </c>
      <c r="DJ22" s="11">
        <f t="shared" si="63"/>
        <v>0</v>
      </c>
      <c r="DK22" s="11">
        <f t="shared" si="64"/>
        <v>0</v>
      </c>
      <c r="DL22" s="29" t="s">
        <v>166</v>
      </c>
      <c r="DM22" s="7">
        <v>112000</v>
      </c>
      <c r="DN22" s="7"/>
      <c r="DO22" s="7"/>
      <c r="DP22" s="12">
        <f t="shared" si="32"/>
        <v>0.05</v>
      </c>
      <c r="DQ22" s="15"/>
    </row>
    <row r="23" spans="1:121" x14ac:dyDescent="0.3">
      <c r="A23" s="1" t="s">
        <v>157</v>
      </c>
      <c r="B23" s="1" t="s">
        <v>142</v>
      </c>
      <c r="C23" s="7"/>
      <c r="D23" s="7"/>
      <c r="E23" s="7"/>
      <c r="F23" s="7"/>
      <c r="G23" s="7"/>
      <c r="H23" s="7"/>
      <c r="I23" s="7"/>
      <c r="J23" s="7"/>
      <c r="K23" s="16">
        <f t="shared" si="33"/>
        <v>0</v>
      </c>
      <c r="L23" s="7"/>
      <c r="M23" s="7"/>
      <c r="N23" s="14"/>
      <c r="O23" s="13">
        <f t="shared" si="34"/>
        <v>0</v>
      </c>
      <c r="P23" s="14"/>
      <c r="Q23" s="7">
        <f t="shared" si="35"/>
        <v>0</v>
      </c>
      <c r="R23" s="8"/>
      <c r="S23" s="8"/>
      <c r="T23" s="7"/>
      <c r="U23" s="7"/>
      <c r="V23" s="14"/>
      <c r="W23" s="7">
        <f t="shared" si="36"/>
        <v>0</v>
      </c>
      <c r="X23" s="14"/>
      <c r="Y23" s="7">
        <f t="shared" si="37"/>
        <v>0</v>
      </c>
      <c r="Z23" s="9"/>
      <c r="AA23" s="9"/>
      <c r="AB23" s="7"/>
      <c r="AC23" s="7"/>
      <c r="AD23" s="14"/>
      <c r="AE23" s="7">
        <f t="shared" si="38"/>
        <v>0</v>
      </c>
      <c r="AF23" s="14"/>
      <c r="AG23" s="7">
        <f t="shared" si="39"/>
        <v>0</v>
      </c>
      <c r="AH23" s="9"/>
      <c r="AI23" s="9"/>
      <c r="AJ23" s="7"/>
      <c r="AK23" s="7"/>
      <c r="AL23" s="14"/>
      <c r="AM23" s="7">
        <f t="shared" si="40"/>
        <v>0</v>
      </c>
      <c r="AN23" s="14"/>
      <c r="AO23" s="7">
        <f t="shared" si="41"/>
        <v>0</v>
      </c>
      <c r="AP23" s="9"/>
      <c r="AQ23" s="9"/>
      <c r="AR23" s="7"/>
      <c r="AS23" s="7"/>
      <c r="AT23" s="14"/>
      <c r="AU23" s="7">
        <f t="shared" si="42"/>
        <v>0</v>
      </c>
      <c r="AV23" s="14"/>
      <c r="AW23" s="7">
        <f t="shared" si="43"/>
        <v>0</v>
      </c>
      <c r="AX23" s="9"/>
      <c r="AY23" s="9"/>
      <c r="AZ23" s="7"/>
      <c r="BA23" s="7"/>
      <c r="BB23" s="14"/>
      <c r="BC23" s="7">
        <f t="shared" si="44"/>
        <v>0</v>
      </c>
      <c r="BD23" s="14"/>
      <c r="BE23" s="7">
        <f t="shared" si="45"/>
        <v>0</v>
      </c>
      <c r="BF23" s="9"/>
      <c r="BG23" s="9"/>
      <c r="BH23" s="7"/>
      <c r="BI23" s="7"/>
      <c r="BJ23" s="14"/>
      <c r="BK23" s="7">
        <f t="shared" si="46"/>
        <v>0</v>
      </c>
      <c r="BL23" s="14"/>
      <c r="BM23" s="7">
        <f t="shared" si="47"/>
        <v>0</v>
      </c>
      <c r="BN23" s="9"/>
      <c r="BO23" s="9"/>
      <c r="BP23" s="7"/>
      <c r="BQ23" s="7"/>
      <c r="BR23" s="14"/>
      <c r="BS23" s="7">
        <f t="shared" si="48"/>
        <v>0</v>
      </c>
      <c r="BT23" s="14"/>
      <c r="BU23" s="7">
        <f t="shared" si="49"/>
        <v>0</v>
      </c>
      <c r="BV23" s="9"/>
      <c r="BW23" s="9"/>
      <c r="BX23" s="7"/>
      <c r="BY23" s="7"/>
      <c r="BZ23" s="10"/>
      <c r="CA23" s="7">
        <f t="shared" si="50"/>
        <v>0</v>
      </c>
      <c r="CB23" s="14"/>
      <c r="CC23" s="7">
        <f t="shared" si="51"/>
        <v>0</v>
      </c>
      <c r="CD23" s="9"/>
      <c r="CE23" s="9"/>
      <c r="CF23" s="7">
        <v>1866.6666666666665</v>
      </c>
      <c r="CG23" s="7">
        <v>2488.8888888888887</v>
      </c>
      <c r="CH23" s="14">
        <v>0.5</v>
      </c>
      <c r="CI23" s="7">
        <f t="shared" si="52"/>
        <v>933.33333333333326</v>
      </c>
      <c r="CJ23" s="14">
        <v>0.5</v>
      </c>
      <c r="CK23" s="13">
        <f t="shared" si="53"/>
        <v>1244.4444444444443</v>
      </c>
      <c r="CL23" s="9"/>
      <c r="CM23" s="9"/>
      <c r="CN23" s="7">
        <v>1866.6666666666665</v>
      </c>
      <c r="CO23" s="7">
        <v>2488.8888888888887</v>
      </c>
      <c r="CP23" s="14">
        <v>0.5</v>
      </c>
      <c r="CQ23" s="13">
        <f t="shared" si="54"/>
        <v>933.33333333333326</v>
      </c>
      <c r="CR23" s="14">
        <v>0.5</v>
      </c>
      <c r="CS23" s="13">
        <f t="shared" si="55"/>
        <v>1244.4444444444443</v>
      </c>
      <c r="CT23" s="9"/>
      <c r="CU23" s="9"/>
      <c r="CV23" s="7">
        <v>1866.6666666666665</v>
      </c>
      <c r="CW23" s="7">
        <v>2488.8888888888887</v>
      </c>
      <c r="CX23" s="14">
        <v>0.5</v>
      </c>
      <c r="CY23" s="13">
        <f t="shared" si="56"/>
        <v>933.33333333333326</v>
      </c>
      <c r="CZ23" s="14">
        <v>0.5</v>
      </c>
      <c r="DA23" s="7">
        <f t="shared" si="57"/>
        <v>1244.4444444444443</v>
      </c>
      <c r="DB23" s="9"/>
      <c r="DC23" s="9"/>
      <c r="DD23" s="7">
        <f t="shared" si="25"/>
        <v>5600</v>
      </c>
      <c r="DE23" s="7">
        <f t="shared" si="58"/>
        <v>2800</v>
      </c>
      <c r="DF23" s="10">
        <f t="shared" si="59"/>
        <v>0.5</v>
      </c>
      <c r="DG23" s="7">
        <f t="shared" si="60"/>
        <v>7466.6666666666661</v>
      </c>
      <c r="DH23" s="7">
        <f t="shared" si="61"/>
        <v>3733.333333333333</v>
      </c>
      <c r="DI23" s="14">
        <f t="shared" si="62"/>
        <v>0.5</v>
      </c>
      <c r="DJ23" s="11">
        <f t="shared" si="63"/>
        <v>0</v>
      </c>
      <c r="DK23" s="11">
        <f t="shared" si="64"/>
        <v>0</v>
      </c>
      <c r="DL23" s="29" t="s">
        <v>166</v>
      </c>
      <c r="DM23" s="7">
        <v>22400</v>
      </c>
      <c r="DN23" s="7"/>
      <c r="DO23" s="7"/>
      <c r="DP23" s="12">
        <f t="shared" si="32"/>
        <v>0.25</v>
      </c>
      <c r="DQ23" s="15"/>
    </row>
    <row r="24" spans="1:121" x14ac:dyDescent="0.3">
      <c r="A24" s="1" t="s">
        <v>157</v>
      </c>
      <c r="B24" s="1" t="s">
        <v>143</v>
      </c>
      <c r="C24" s="7"/>
      <c r="D24" s="7"/>
      <c r="E24" s="7"/>
      <c r="F24" s="7"/>
      <c r="G24" s="7"/>
      <c r="H24" s="7"/>
      <c r="I24" s="7"/>
      <c r="J24" s="7"/>
      <c r="K24" s="16">
        <f t="shared" si="33"/>
        <v>0</v>
      </c>
      <c r="L24" s="7"/>
      <c r="M24" s="7"/>
      <c r="N24" s="14"/>
      <c r="O24" s="13">
        <f t="shared" si="34"/>
        <v>0</v>
      </c>
      <c r="P24" s="14"/>
      <c r="Q24" s="7">
        <f t="shared" si="35"/>
        <v>0</v>
      </c>
      <c r="R24" s="8"/>
      <c r="S24" s="8"/>
      <c r="T24" s="7"/>
      <c r="U24" s="7"/>
      <c r="V24" s="14"/>
      <c r="W24" s="7">
        <f t="shared" si="36"/>
        <v>0</v>
      </c>
      <c r="X24" s="14"/>
      <c r="Y24" s="7">
        <f t="shared" si="37"/>
        <v>0</v>
      </c>
      <c r="Z24" s="9"/>
      <c r="AA24" s="9"/>
      <c r="AB24" s="7"/>
      <c r="AC24" s="7"/>
      <c r="AD24" s="14"/>
      <c r="AE24" s="7">
        <f t="shared" si="38"/>
        <v>0</v>
      </c>
      <c r="AF24" s="14"/>
      <c r="AG24" s="7">
        <f t="shared" si="39"/>
        <v>0</v>
      </c>
      <c r="AH24" s="9"/>
      <c r="AI24" s="9"/>
      <c r="AJ24" s="7"/>
      <c r="AK24" s="7"/>
      <c r="AL24" s="14"/>
      <c r="AM24" s="7">
        <f t="shared" si="40"/>
        <v>0</v>
      </c>
      <c r="AN24" s="14"/>
      <c r="AO24" s="7">
        <f t="shared" si="41"/>
        <v>0</v>
      </c>
      <c r="AP24" s="9"/>
      <c r="AQ24" s="9"/>
      <c r="AR24" s="7"/>
      <c r="AS24" s="7"/>
      <c r="AT24" s="14"/>
      <c r="AU24" s="7">
        <f t="shared" si="42"/>
        <v>0</v>
      </c>
      <c r="AV24" s="14"/>
      <c r="AW24" s="7">
        <f t="shared" si="43"/>
        <v>0</v>
      </c>
      <c r="AX24" s="9"/>
      <c r="AY24" s="9"/>
      <c r="AZ24" s="7"/>
      <c r="BA24" s="7"/>
      <c r="BB24" s="14"/>
      <c r="BC24" s="7">
        <f t="shared" si="44"/>
        <v>0</v>
      </c>
      <c r="BD24" s="14"/>
      <c r="BE24" s="7">
        <f t="shared" si="45"/>
        <v>0</v>
      </c>
      <c r="BF24" s="9"/>
      <c r="BG24" s="9"/>
      <c r="BH24" s="7"/>
      <c r="BI24" s="7"/>
      <c r="BJ24" s="14"/>
      <c r="BK24" s="7">
        <f t="shared" si="46"/>
        <v>0</v>
      </c>
      <c r="BL24" s="14"/>
      <c r="BM24" s="7">
        <f t="shared" si="47"/>
        <v>0</v>
      </c>
      <c r="BN24" s="9"/>
      <c r="BO24" s="9"/>
      <c r="BP24" s="7"/>
      <c r="BQ24" s="7"/>
      <c r="BR24" s="14"/>
      <c r="BS24" s="7">
        <f t="shared" si="48"/>
        <v>0</v>
      </c>
      <c r="BT24" s="14"/>
      <c r="BU24" s="7">
        <f t="shared" si="49"/>
        <v>0</v>
      </c>
      <c r="BV24" s="9"/>
      <c r="BW24" s="9"/>
      <c r="BX24" s="7"/>
      <c r="BY24" s="7"/>
      <c r="BZ24" s="10"/>
      <c r="CA24" s="7">
        <f t="shared" si="50"/>
        <v>0</v>
      </c>
      <c r="CB24" s="14"/>
      <c r="CC24" s="7">
        <f t="shared" si="51"/>
        <v>0</v>
      </c>
      <c r="CD24" s="9"/>
      <c r="CE24" s="9"/>
      <c r="CF24" s="7">
        <v>1866.6666666666665</v>
      </c>
      <c r="CG24" s="7">
        <v>2488.8888888888887</v>
      </c>
      <c r="CH24" s="14">
        <v>0.5</v>
      </c>
      <c r="CI24" s="7">
        <f t="shared" si="52"/>
        <v>933.33333333333326</v>
      </c>
      <c r="CJ24" s="14">
        <v>0.5</v>
      </c>
      <c r="CK24" s="13">
        <f t="shared" si="53"/>
        <v>1244.4444444444443</v>
      </c>
      <c r="CL24" s="9"/>
      <c r="CM24" s="9"/>
      <c r="CN24" s="7">
        <v>1866.6666666666665</v>
      </c>
      <c r="CO24" s="7">
        <v>2488.8888888888887</v>
      </c>
      <c r="CP24" s="14">
        <v>0.5</v>
      </c>
      <c r="CQ24" s="13">
        <f t="shared" si="54"/>
        <v>933.33333333333326</v>
      </c>
      <c r="CR24" s="14">
        <v>0.5</v>
      </c>
      <c r="CS24" s="13">
        <f t="shared" si="55"/>
        <v>1244.4444444444443</v>
      </c>
      <c r="CT24" s="9"/>
      <c r="CU24" s="9"/>
      <c r="CV24" s="7">
        <v>1866.6666666666665</v>
      </c>
      <c r="CW24" s="7">
        <v>2488.8888888888887</v>
      </c>
      <c r="CX24" s="14">
        <v>0.5</v>
      </c>
      <c r="CY24" s="13">
        <f t="shared" si="56"/>
        <v>933.33333333333326</v>
      </c>
      <c r="CZ24" s="14">
        <v>0.5</v>
      </c>
      <c r="DA24" s="7">
        <f t="shared" si="57"/>
        <v>1244.4444444444443</v>
      </c>
      <c r="DB24" s="9"/>
      <c r="DC24" s="9"/>
      <c r="DD24" s="7">
        <f t="shared" si="25"/>
        <v>5600</v>
      </c>
      <c r="DE24" s="7">
        <f t="shared" si="58"/>
        <v>2800</v>
      </c>
      <c r="DF24" s="10">
        <f t="shared" si="59"/>
        <v>0.5</v>
      </c>
      <c r="DG24" s="7">
        <f t="shared" si="60"/>
        <v>7466.6666666666661</v>
      </c>
      <c r="DH24" s="7">
        <f t="shared" si="61"/>
        <v>3733.333333333333</v>
      </c>
      <c r="DI24" s="14">
        <f t="shared" si="62"/>
        <v>0.5</v>
      </c>
      <c r="DJ24" s="11">
        <f t="shared" si="63"/>
        <v>0</v>
      </c>
      <c r="DK24" s="11">
        <f t="shared" si="64"/>
        <v>0</v>
      </c>
      <c r="DL24" s="29" t="s">
        <v>166</v>
      </c>
      <c r="DM24" s="7">
        <v>224000</v>
      </c>
      <c r="DN24" s="7"/>
      <c r="DO24" s="7"/>
      <c r="DP24" s="12">
        <f t="shared" si="32"/>
        <v>2.5000000000000001E-2</v>
      </c>
      <c r="DQ24" s="15"/>
    </row>
    <row r="25" spans="1:121" x14ac:dyDescent="0.3">
      <c r="A25" s="1" t="s">
        <v>157</v>
      </c>
      <c r="B25" s="1" t="s">
        <v>144</v>
      </c>
      <c r="C25" s="7"/>
      <c r="D25" s="7"/>
      <c r="E25" s="7"/>
      <c r="F25" s="7"/>
      <c r="G25" s="7"/>
      <c r="H25" s="7"/>
      <c r="I25" s="7"/>
      <c r="J25" s="7"/>
      <c r="K25" s="16">
        <f t="shared" si="33"/>
        <v>0</v>
      </c>
      <c r="L25" s="7"/>
      <c r="M25" s="7"/>
      <c r="N25" s="14"/>
      <c r="O25" s="13">
        <f t="shared" si="34"/>
        <v>0</v>
      </c>
      <c r="P25" s="14"/>
      <c r="Q25" s="7">
        <f t="shared" si="35"/>
        <v>0</v>
      </c>
      <c r="R25" s="8"/>
      <c r="S25" s="8"/>
      <c r="T25" s="7"/>
      <c r="U25" s="7"/>
      <c r="V25" s="14"/>
      <c r="W25" s="7">
        <f t="shared" si="36"/>
        <v>0</v>
      </c>
      <c r="X25" s="14"/>
      <c r="Y25" s="7">
        <f t="shared" si="37"/>
        <v>0</v>
      </c>
      <c r="Z25" s="9"/>
      <c r="AA25" s="9"/>
      <c r="AB25" s="7"/>
      <c r="AC25" s="7"/>
      <c r="AD25" s="14"/>
      <c r="AE25" s="7">
        <f t="shared" si="38"/>
        <v>0</v>
      </c>
      <c r="AF25" s="14"/>
      <c r="AG25" s="7">
        <f t="shared" si="39"/>
        <v>0</v>
      </c>
      <c r="AH25" s="9"/>
      <c r="AI25" s="9"/>
      <c r="AJ25" s="7"/>
      <c r="AK25" s="7"/>
      <c r="AL25" s="14"/>
      <c r="AM25" s="7">
        <f t="shared" si="40"/>
        <v>0</v>
      </c>
      <c r="AN25" s="14"/>
      <c r="AO25" s="7">
        <f t="shared" si="41"/>
        <v>0</v>
      </c>
      <c r="AP25" s="9"/>
      <c r="AQ25" s="9"/>
      <c r="AR25" s="7"/>
      <c r="AS25" s="7"/>
      <c r="AT25" s="14"/>
      <c r="AU25" s="7">
        <f t="shared" si="42"/>
        <v>0</v>
      </c>
      <c r="AV25" s="14"/>
      <c r="AW25" s="7">
        <f t="shared" si="43"/>
        <v>0</v>
      </c>
      <c r="AX25" s="9"/>
      <c r="AY25" s="9"/>
      <c r="AZ25" s="7"/>
      <c r="BA25" s="7"/>
      <c r="BB25" s="14"/>
      <c r="BC25" s="7">
        <f t="shared" si="44"/>
        <v>0</v>
      </c>
      <c r="BD25" s="14"/>
      <c r="BE25" s="7">
        <f t="shared" si="45"/>
        <v>0</v>
      </c>
      <c r="BF25" s="9"/>
      <c r="BG25" s="9"/>
      <c r="BH25" s="7"/>
      <c r="BI25" s="7"/>
      <c r="BJ25" s="14"/>
      <c r="BK25" s="7">
        <f t="shared" si="46"/>
        <v>0</v>
      </c>
      <c r="BL25" s="14"/>
      <c r="BM25" s="7">
        <f t="shared" si="47"/>
        <v>0</v>
      </c>
      <c r="BN25" s="9"/>
      <c r="BO25" s="9"/>
      <c r="BP25" s="7"/>
      <c r="BQ25" s="7"/>
      <c r="BR25" s="14"/>
      <c r="BS25" s="7">
        <f t="shared" si="48"/>
        <v>0</v>
      </c>
      <c r="BT25" s="14"/>
      <c r="BU25" s="7">
        <f t="shared" si="49"/>
        <v>0</v>
      </c>
      <c r="BV25" s="9"/>
      <c r="BW25" s="9"/>
      <c r="BX25" s="7"/>
      <c r="BY25" s="7"/>
      <c r="BZ25" s="10"/>
      <c r="CA25" s="7">
        <f t="shared" si="50"/>
        <v>0</v>
      </c>
      <c r="CB25" s="14"/>
      <c r="CC25" s="7">
        <f t="shared" si="51"/>
        <v>0</v>
      </c>
      <c r="CD25" s="9"/>
      <c r="CE25" s="9"/>
      <c r="CF25" s="7">
        <v>1866.6666666666665</v>
      </c>
      <c r="CG25" s="7">
        <v>2488.8888888888887</v>
      </c>
      <c r="CH25" s="14">
        <v>0.5</v>
      </c>
      <c r="CI25" s="7">
        <f t="shared" si="52"/>
        <v>933.33333333333326</v>
      </c>
      <c r="CJ25" s="14">
        <v>0.5</v>
      </c>
      <c r="CK25" s="13">
        <f t="shared" si="53"/>
        <v>1244.4444444444443</v>
      </c>
      <c r="CL25" s="9"/>
      <c r="CM25" s="9"/>
      <c r="CN25" s="7">
        <v>1866.6666666666665</v>
      </c>
      <c r="CO25" s="7">
        <v>2488.8888888888887</v>
      </c>
      <c r="CP25" s="14">
        <v>0.5</v>
      </c>
      <c r="CQ25" s="13">
        <f t="shared" si="54"/>
        <v>933.33333333333326</v>
      </c>
      <c r="CR25" s="14">
        <v>0.5</v>
      </c>
      <c r="CS25" s="13">
        <f t="shared" si="55"/>
        <v>1244.4444444444443</v>
      </c>
      <c r="CT25" s="9"/>
      <c r="CU25" s="9"/>
      <c r="CV25" s="7">
        <v>1866.6666666666665</v>
      </c>
      <c r="CW25" s="7">
        <v>2488.8888888888887</v>
      </c>
      <c r="CX25" s="14">
        <v>0.5</v>
      </c>
      <c r="CY25" s="13">
        <f t="shared" si="56"/>
        <v>933.33333333333326</v>
      </c>
      <c r="CZ25" s="14">
        <v>0.5</v>
      </c>
      <c r="DA25" s="7">
        <f t="shared" si="57"/>
        <v>1244.4444444444443</v>
      </c>
      <c r="DB25" s="9"/>
      <c r="DC25" s="9"/>
      <c r="DD25" s="7">
        <f t="shared" si="25"/>
        <v>5600</v>
      </c>
      <c r="DE25" s="7">
        <f t="shared" si="58"/>
        <v>2800</v>
      </c>
      <c r="DF25" s="10">
        <f t="shared" si="59"/>
        <v>0.5</v>
      </c>
      <c r="DG25" s="7">
        <f t="shared" si="60"/>
        <v>7466.6666666666661</v>
      </c>
      <c r="DH25" s="7">
        <f t="shared" si="61"/>
        <v>3733.333333333333</v>
      </c>
      <c r="DI25" s="14">
        <f t="shared" si="62"/>
        <v>0.5</v>
      </c>
      <c r="DJ25" s="11">
        <f t="shared" si="63"/>
        <v>0</v>
      </c>
      <c r="DK25" s="11">
        <f t="shared" si="64"/>
        <v>0</v>
      </c>
      <c r="DL25" s="29" t="s">
        <v>166</v>
      </c>
      <c r="DM25" s="7">
        <v>22400</v>
      </c>
      <c r="DN25" s="7"/>
      <c r="DO25" s="7"/>
      <c r="DP25" s="12">
        <f t="shared" si="32"/>
        <v>0.25</v>
      </c>
      <c r="DQ25" s="15"/>
    </row>
    <row r="26" spans="1:121" x14ac:dyDescent="0.3">
      <c r="A26" s="1" t="s">
        <v>157</v>
      </c>
      <c r="B26" s="1" t="s">
        <v>145</v>
      </c>
      <c r="C26" s="7"/>
      <c r="D26" s="7"/>
      <c r="E26" s="7"/>
      <c r="F26" s="7"/>
      <c r="G26" s="7"/>
      <c r="H26" s="7"/>
      <c r="I26" s="7"/>
      <c r="J26" s="7"/>
      <c r="K26" s="16">
        <f t="shared" si="33"/>
        <v>0</v>
      </c>
      <c r="L26" s="7"/>
      <c r="M26" s="7"/>
      <c r="N26" s="14"/>
      <c r="O26" s="13">
        <f t="shared" si="34"/>
        <v>0</v>
      </c>
      <c r="P26" s="14"/>
      <c r="Q26" s="7">
        <f t="shared" si="35"/>
        <v>0</v>
      </c>
      <c r="R26" s="8"/>
      <c r="S26" s="8"/>
      <c r="T26" s="7"/>
      <c r="U26" s="7"/>
      <c r="V26" s="14"/>
      <c r="W26" s="7">
        <f t="shared" si="36"/>
        <v>0</v>
      </c>
      <c r="X26" s="14"/>
      <c r="Y26" s="7">
        <f t="shared" si="37"/>
        <v>0</v>
      </c>
      <c r="Z26" s="9"/>
      <c r="AA26" s="9"/>
      <c r="AB26" s="7"/>
      <c r="AC26" s="7"/>
      <c r="AD26" s="14"/>
      <c r="AE26" s="7">
        <f t="shared" si="38"/>
        <v>0</v>
      </c>
      <c r="AF26" s="14"/>
      <c r="AG26" s="7">
        <f t="shared" si="39"/>
        <v>0</v>
      </c>
      <c r="AH26" s="9"/>
      <c r="AI26" s="9"/>
      <c r="AJ26" s="7"/>
      <c r="AK26" s="7"/>
      <c r="AL26" s="14"/>
      <c r="AM26" s="7">
        <f t="shared" si="40"/>
        <v>0</v>
      </c>
      <c r="AN26" s="14"/>
      <c r="AO26" s="7">
        <f t="shared" si="41"/>
        <v>0</v>
      </c>
      <c r="AP26" s="9"/>
      <c r="AQ26" s="9"/>
      <c r="AR26" s="7"/>
      <c r="AS26" s="7"/>
      <c r="AT26" s="14"/>
      <c r="AU26" s="7">
        <f t="shared" si="42"/>
        <v>0</v>
      </c>
      <c r="AV26" s="14"/>
      <c r="AW26" s="7">
        <f t="shared" si="43"/>
        <v>0</v>
      </c>
      <c r="AX26" s="9"/>
      <c r="AY26" s="9"/>
      <c r="AZ26" s="7"/>
      <c r="BA26" s="7"/>
      <c r="BB26" s="14"/>
      <c r="BC26" s="7">
        <f t="shared" si="44"/>
        <v>0</v>
      </c>
      <c r="BD26" s="14"/>
      <c r="BE26" s="7">
        <f t="shared" si="45"/>
        <v>0</v>
      </c>
      <c r="BF26" s="9"/>
      <c r="BG26" s="9"/>
      <c r="BH26" s="7"/>
      <c r="BI26" s="7"/>
      <c r="BJ26" s="14"/>
      <c r="BK26" s="7">
        <f t="shared" si="46"/>
        <v>0</v>
      </c>
      <c r="BL26" s="14"/>
      <c r="BM26" s="7">
        <f t="shared" si="47"/>
        <v>0</v>
      </c>
      <c r="BN26" s="9"/>
      <c r="BO26" s="9"/>
      <c r="BP26" s="7"/>
      <c r="BQ26" s="7"/>
      <c r="BR26" s="14"/>
      <c r="BS26" s="7">
        <f t="shared" si="48"/>
        <v>0</v>
      </c>
      <c r="BT26" s="14"/>
      <c r="BU26" s="7">
        <f t="shared" si="49"/>
        <v>0</v>
      </c>
      <c r="BV26" s="9"/>
      <c r="BW26" s="9"/>
      <c r="BX26" s="7"/>
      <c r="BY26" s="7"/>
      <c r="BZ26" s="10"/>
      <c r="CA26" s="7">
        <f t="shared" si="50"/>
        <v>0</v>
      </c>
      <c r="CB26" s="14"/>
      <c r="CC26" s="7">
        <f t="shared" si="51"/>
        <v>0</v>
      </c>
      <c r="CD26" s="9"/>
      <c r="CE26" s="9"/>
      <c r="CF26" s="7">
        <v>18666.666666666668</v>
      </c>
      <c r="CG26" s="7">
        <v>24888.888888888891</v>
      </c>
      <c r="CH26" s="14">
        <v>0.5</v>
      </c>
      <c r="CI26" s="7">
        <f t="shared" si="52"/>
        <v>9333.3333333333339</v>
      </c>
      <c r="CJ26" s="14">
        <v>0.5</v>
      </c>
      <c r="CK26" s="13">
        <f t="shared" si="53"/>
        <v>12444.444444444445</v>
      </c>
      <c r="CL26" s="9"/>
      <c r="CM26" s="9"/>
      <c r="CN26" s="7">
        <v>18666.666666666668</v>
      </c>
      <c r="CO26" s="7">
        <v>24888.888888888891</v>
      </c>
      <c r="CP26" s="14">
        <v>0.5</v>
      </c>
      <c r="CQ26" s="13">
        <f t="shared" si="54"/>
        <v>9333.3333333333339</v>
      </c>
      <c r="CR26" s="14">
        <v>0.5</v>
      </c>
      <c r="CS26" s="13">
        <f t="shared" si="55"/>
        <v>12444.444444444445</v>
      </c>
      <c r="CT26" s="9"/>
      <c r="CU26" s="9"/>
      <c r="CV26" s="7">
        <v>18666.666666666668</v>
      </c>
      <c r="CW26" s="7">
        <v>24888.888888888891</v>
      </c>
      <c r="CX26" s="14">
        <v>0.5</v>
      </c>
      <c r="CY26" s="13">
        <f t="shared" si="56"/>
        <v>9333.3333333333339</v>
      </c>
      <c r="CZ26" s="14">
        <v>0.5</v>
      </c>
      <c r="DA26" s="7">
        <f t="shared" si="57"/>
        <v>12444.444444444445</v>
      </c>
      <c r="DB26" s="9"/>
      <c r="DC26" s="9"/>
      <c r="DD26" s="7">
        <f t="shared" si="25"/>
        <v>56000</v>
      </c>
      <c r="DE26" s="7">
        <f t="shared" si="58"/>
        <v>28000</v>
      </c>
      <c r="DF26" s="10">
        <f t="shared" si="59"/>
        <v>0.5</v>
      </c>
      <c r="DG26" s="7">
        <f t="shared" si="60"/>
        <v>74666.666666666672</v>
      </c>
      <c r="DH26" s="7">
        <f t="shared" si="61"/>
        <v>37333.333333333336</v>
      </c>
      <c r="DI26" s="14">
        <f t="shared" si="62"/>
        <v>0.5</v>
      </c>
      <c r="DJ26" s="11">
        <f t="shared" si="63"/>
        <v>0</v>
      </c>
      <c r="DK26" s="11">
        <f t="shared" si="64"/>
        <v>0</v>
      </c>
      <c r="DL26" s="29" t="s">
        <v>166</v>
      </c>
      <c r="DM26" s="7">
        <v>336000</v>
      </c>
      <c r="DN26" s="7"/>
      <c r="DO26" s="7"/>
      <c r="DP26" s="12">
        <f t="shared" si="32"/>
        <v>0.16666666666666666</v>
      </c>
      <c r="DQ26" s="15"/>
    </row>
    <row r="27" spans="1:121" x14ac:dyDescent="0.3">
      <c r="A27" s="1" t="s">
        <v>157</v>
      </c>
      <c r="B27" s="1" t="s">
        <v>146</v>
      </c>
      <c r="C27" s="7"/>
      <c r="D27" s="7"/>
      <c r="E27" s="7"/>
      <c r="F27" s="7"/>
      <c r="G27" s="7"/>
      <c r="H27" s="7"/>
      <c r="I27" s="7"/>
      <c r="J27" s="7"/>
      <c r="K27" s="16">
        <f t="shared" si="33"/>
        <v>0</v>
      </c>
      <c r="L27" s="7"/>
      <c r="M27" s="7"/>
      <c r="N27" s="14"/>
      <c r="O27" s="13">
        <f t="shared" si="34"/>
        <v>0</v>
      </c>
      <c r="P27" s="14"/>
      <c r="Q27" s="7">
        <f t="shared" si="35"/>
        <v>0</v>
      </c>
      <c r="R27" s="8"/>
      <c r="S27" s="8"/>
      <c r="T27" s="7"/>
      <c r="U27" s="7"/>
      <c r="V27" s="14"/>
      <c r="W27" s="7">
        <f t="shared" si="36"/>
        <v>0</v>
      </c>
      <c r="X27" s="14"/>
      <c r="Y27" s="7">
        <f t="shared" si="37"/>
        <v>0</v>
      </c>
      <c r="Z27" s="9"/>
      <c r="AA27" s="9"/>
      <c r="AB27" s="7"/>
      <c r="AC27" s="7"/>
      <c r="AD27" s="14"/>
      <c r="AE27" s="7">
        <f t="shared" si="38"/>
        <v>0</v>
      </c>
      <c r="AF27" s="14"/>
      <c r="AG27" s="7">
        <f t="shared" si="39"/>
        <v>0</v>
      </c>
      <c r="AH27" s="9"/>
      <c r="AI27" s="9"/>
      <c r="AJ27" s="7"/>
      <c r="AK27" s="7"/>
      <c r="AL27" s="14"/>
      <c r="AM27" s="7">
        <f t="shared" si="40"/>
        <v>0</v>
      </c>
      <c r="AN27" s="14"/>
      <c r="AO27" s="7">
        <f t="shared" si="41"/>
        <v>0</v>
      </c>
      <c r="AP27" s="9"/>
      <c r="AQ27" s="9"/>
      <c r="AR27" s="7"/>
      <c r="AS27" s="7"/>
      <c r="AT27" s="14"/>
      <c r="AU27" s="7">
        <f t="shared" si="42"/>
        <v>0</v>
      </c>
      <c r="AV27" s="14"/>
      <c r="AW27" s="7">
        <f t="shared" si="43"/>
        <v>0</v>
      </c>
      <c r="AX27" s="9"/>
      <c r="AY27" s="9"/>
      <c r="AZ27" s="7"/>
      <c r="BA27" s="7"/>
      <c r="BB27" s="14"/>
      <c r="BC27" s="7">
        <f t="shared" si="44"/>
        <v>0</v>
      </c>
      <c r="BD27" s="14"/>
      <c r="BE27" s="7">
        <f t="shared" si="45"/>
        <v>0</v>
      </c>
      <c r="BF27" s="9"/>
      <c r="BG27" s="9"/>
      <c r="BH27" s="7"/>
      <c r="BI27" s="7"/>
      <c r="BJ27" s="14"/>
      <c r="BK27" s="7">
        <f t="shared" si="46"/>
        <v>0</v>
      </c>
      <c r="BL27" s="14"/>
      <c r="BM27" s="7">
        <f t="shared" si="47"/>
        <v>0</v>
      </c>
      <c r="BN27" s="9"/>
      <c r="BO27" s="9"/>
      <c r="BP27" s="7"/>
      <c r="BQ27" s="7"/>
      <c r="BR27" s="14"/>
      <c r="BS27" s="7">
        <f t="shared" si="48"/>
        <v>0</v>
      </c>
      <c r="BT27" s="14"/>
      <c r="BU27" s="7">
        <f t="shared" si="49"/>
        <v>0</v>
      </c>
      <c r="BV27" s="9"/>
      <c r="BW27" s="9"/>
      <c r="BX27" s="7"/>
      <c r="BY27" s="7"/>
      <c r="BZ27" s="10"/>
      <c r="CA27" s="7">
        <f t="shared" si="50"/>
        <v>0</v>
      </c>
      <c r="CB27" s="14"/>
      <c r="CC27" s="7">
        <f t="shared" si="51"/>
        <v>0</v>
      </c>
      <c r="CD27" s="9"/>
      <c r="CE27" s="9"/>
      <c r="CF27" s="7">
        <v>3733.333333333333</v>
      </c>
      <c r="CG27" s="7">
        <v>4977.7777777777774</v>
      </c>
      <c r="CH27" s="14">
        <v>0.5</v>
      </c>
      <c r="CI27" s="7">
        <f t="shared" si="52"/>
        <v>1866.6666666666665</v>
      </c>
      <c r="CJ27" s="14">
        <v>0.5</v>
      </c>
      <c r="CK27" s="13">
        <f t="shared" si="53"/>
        <v>2488.8888888888887</v>
      </c>
      <c r="CL27" s="9"/>
      <c r="CM27" s="9"/>
      <c r="CN27" s="7">
        <v>3733.333333333333</v>
      </c>
      <c r="CO27" s="7">
        <v>4977.7777777777774</v>
      </c>
      <c r="CP27" s="14">
        <v>0.5</v>
      </c>
      <c r="CQ27" s="13">
        <f t="shared" si="54"/>
        <v>1866.6666666666665</v>
      </c>
      <c r="CR27" s="14">
        <v>0.5</v>
      </c>
      <c r="CS27" s="13">
        <f t="shared" si="55"/>
        <v>2488.8888888888887</v>
      </c>
      <c r="CT27" s="9"/>
      <c r="CU27" s="9"/>
      <c r="CV27" s="7">
        <v>3733.333333333333</v>
      </c>
      <c r="CW27" s="7">
        <v>4977.7777777777774</v>
      </c>
      <c r="CX27" s="14">
        <v>0.5</v>
      </c>
      <c r="CY27" s="13">
        <f t="shared" si="56"/>
        <v>1866.6666666666665</v>
      </c>
      <c r="CZ27" s="14">
        <v>0.5</v>
      </c>
      <c r="DA27" s="7">
        <f t="shared" si="57"/>
        <v>2488.8888888888887</v>
      </c>
      <c r="DB27" s="9"/>
      <c r="DC27" s="9"/>
      <c r="DD27" s="7">
        <f t="shared" si="25"/>
        <v>11200</v>
      </c>
      <c r="DE27" s="7">
        <f t="shared" si="58"/>
        <v>5600</v>
      </c>
      <c r="DF27" s="10">
        <f t="shared" si="59"/>
        <v>0.5</v>
      </c>
      <c r="DG27" s="7">
        <f t="shared" si="60"/>
        <v>14933.333333333332</v>
      </c>
      <c r="DH27" s="7">
        <f t="shared" si="61"/>
        <v>7466.6666666666661</v>
      </c>
      <c r="DI27" s="14">
        <f t="shared" si="62"/>
        <v>0.5</v>
      </c>
      <c r="DJ27" s="11">
        <f t="shared" si="63"/>
        <v>0</v>
      </c>
      <c r="DK27" s="11">
        <f t="shared" si="64"/>
        <v>0</v>
      </c>
      <c r="DL27" s="29" t="s">
        <v>166</v>
      </c>
      <c r="DM27" s="7">
        <v>1120000</v>
      </c>
      <c r="DN27" s="7"/>
      <c r="DO27" s="7"/>
      <c r="DP27" s="12">
        <f t="shared" si="32"/>
        <v>0.01</v>
      </c>
      <c r="DQ27" s="15"/>
    </row>
    <row r="28" spans="1:121" x14ac:dyDescent="0.3">
      <c r="A28" s="1" t="s">
        <v>159</v>
      </c>
      <c r="B28" s="1" t="s">
        <v>147</v>
      </c>
      <c r="C28" s="7"/>
      <c r="D28" s="7"/>
      <c r="E28" s="7"/>
      <c r="F28" s="7"/>
      <c r="G28" s="7"/>
      <c r="H28" s="7"/>
      <c r="I28" s="7"/>
      <c r="J28" s="7"/>
      <c r="K28" s="16">
        <f t="shared" si="33"/>
        <v>0</v>
      </c>
      <c r="L28" s="7"/>
      <c r="M28" s="7"/>
      <c r="N28" s="14"/>
      <c r="O28" s="13">
        <f t="shared" si="34"/>
        <v>0</v>
      </c>
      <c r="P28" s="14"/>
      <c r="Q28" s="7">
        <f t="shared" si="35"/>
        <v>0</v>
      </c>
      <c r="R28" s="8"/>
      <c r="S28" s="8"/>
      <c r="T28" s="7"/>
      <c r="U28" s="7"/>
      <c r="V28" s="14"/>
      <c r="W28" s="7">
        <f t="shared" si="36"/>
        <v>0</v>
      </c>
      <c r="X28" s="14"/>
      <c r="Y28" s="7">
        <f t="shared" si="37"/>
        <v>0</v>
      </c>
      <c r="Z28" s="9"/>
      <c r="AA28" s="9"/>
      <c r="AB28" s="7"/>
      <c r="AC28" s="7"/>
      <c r="AD28" s="14"/>
      <c r="AE28" s="7">
        <f t="shared" si="38"/>
        <v>0</v>
      </c>
      <c r="AF28" s="14"/>
      <c r="AG28" s="7">
        <f t="shared" si="39"/>
        <v>0</v>
      </c>
      <c r="AH28" s="9"/>
      <c r="AI28" s="9"/>
      <c r="AJ28" s="7"/>
      <c r="AK28" s="7"/>
      <c r="AL28" s="14"/>
      <c r="AM28" s="7">
        <f t="shared" si="40"/>
        <v>0</v>
      </c>
      <c r="AN28" s="14"/>
      <c r="AO28" s="7">
        <f t="shared" si="41"/>
        <v>0</v>
      </c>
      <c r="AP28" s="9"/>
      <c r="AQ28" s="9"/>
      <c r="AR28" s="7"/>
      <c r="AS28" s="7"/>
      <c r="AT28" s="14"/>
      <c r="AU28" s="7">
        <f t="shared" si="42"/>
        <v>0</v>
      </c>
      <c r="AV28" s="14"/>
      <c r="AW28" s="7">
        <f t="shared" si="43"/>
        <v>0</v>
      </c>
      <c r="AX28" s="9"/>
      <c r="AY28" s="9"/>
      <c r="AZ28" s="7"/>
      <c r="BA28" s="7"/>
      <c r="BB28" s="14"/>
      <c r="BC28" s="7">
        <f t="shared" si="44"/>
        <v>0</v>
      </c>
      <c r="BD28" s="14"/>
      <c r="BE28" s="7">
        <f t="shared" si="45"/>
        <v>0</v>
      </c>
      <c r="BF28" s="9"/>
      <c r="BG28" s="9"/>
      <c r="BH28" s="7"/>
      <c r="BI28" s="7"/>
      <c r="BJ28" s="14"/>
      <c r="BK28" s="7">
        <f t="shared" si="46"/>
        <v>0</v>
      </c>
      <c r="BL28" s="14"/>
      <c r="BM28" s="7">
        <f t="shared" si="47"/>
        <v>0</v>
      </c>
      <c r="BN28" s="9"/>
      <c r="BO28" s="9"/>
      <c r="BP28" s="7"/>
      <c r="BQ28" s="7"/>
      <c r="BR28" s="14"/>
      <c r="BS28" s="7">
        <f t="shared" si="48"/>
        <v>0</v>
      </c>
      <c r="BT28" s="14"/>
      <c r="BU28" s="7">
        <f t="shared" si="49"/>
        <v>0</v>
      </c>
      <c r="BV28" s="9"/>
      <c r="BW28" s="9"/>
      <c r="BX28" s="7"/>
      <c r="BY28" s="7"/>
      <c r="BZ28" s="10"/>
      <c r="CA28" s="7">
        <f t="shared" si="50"/>
        <v>0</v>
      </c>
      <c r="CB28" s="14"/>
      <c r="CC28" s="7">
        <f t="shared" si="51"/>
        <v>0</v>
      </c>
      <c r="CD28" s="9"/>
      <c r="CE28" s="9"/>
      <c r="CF28" s="7">
        <v>1400</v>
      </c>
      <c r="CG28" s="7">
        <v>1866.6666666666667</v>
      </c>
      <c r="CH28" s="14">
        <v>0.67</v>
      </c>
      <c r="CI28" s="7">
        <f t="shared" si="52"/>
        <v>938</v>
      </c>
      <c r="CJ28" s="14">
        <v>0.67</v>
      </c>
      <c r="CK28" s="13">
        <f t="shared" si="53"/>
        <v>1250.6666666666667</v>
      </c>
      <c r="CL28" s="9"/>
      <c r="CM28" s="9"/>
      <c r="CN28" s="7">
        <v>1400</v>
      </c>
      <c r="CO28" s="7">
        <v>1866.6666666666667</v>
      </c>
      <c r="CP28" s="14">
        <v>0.67</v>
      </c>
      <c r="CQ28" s="13">
        <f t="shared" si="54"/>
        <v>938</v>
      </c>
      <c r="CR28" s="14">
        <v>0.67</v>
      </c>
      <c r="CS28" s="13">
        <f t="shared" si="55"/>
        <v>1250.6666666666667</v>
      </c>
      <c r="CT28" s="9"/>
      <c r="CU28" s="9"/>
      <c r="CV28" s="7">
        <v>1400</v>
      </c>
      <c r="CW28" s="7">
        <v>1866.6666666666667</v>
      </c>
      <c r="CX28" s="14">
        <v>0.67</v>
      </c>
      <c r="CY28" s="13">
        <f t="shared" si="56"/>
        <v>938</v>
      </c>
      <c r="CZ28" s="14">
        <v>0.67</v>
      </c>
      <c r="DA28" s="7">
        <f t="shared" si="57"/>
        <v>1250.6666666666667</v>
      </c>
      <c r="DB28" s="9"/>
      <c r="DC28" s="9"/>
      <c r="DD28" s="7">
        <f t="shared" si="25"/>
        <v>4200</v>
      </c>
      <c r="DE28" s="7">
        <f t="shared" si="58"/>
        <v>2814</v>
      </c>
      <c r="DF28" s="10">
        <f t="shared" si="59"/>
        <v>0.67</v>
      </c>
      <c r="DG28" s="7">
        <f t="shared" si="60"/>
        <v>5600</v>
      </c>
      <c r="DH28" s="7">
        <f t="shared" si="61"/>
        <v>3752</v>
      </c>
      <c r="DI28" s="14">
        <f t="shared" si="62"/>
        <v>0.67</v>
      </c>
      <c r="DJ28" s="11">
        <f t="shared" si="63"/>
        <v>0</v>
      </c>
      <c r="DK28" s="11">
        <f t="shared" si="64"/>
        <v>0</v>
      </c>
      <c r="DL28" s="29" t="s">
        <v>167</v>
      </c>
      <c r="DM28" s="7">
        <v>44800</v>
      </c>
      <c r="DN28" s="7"/>
      <c r="DO28" s="7"/>
      <c r="DP28" s="12">
        <f t="shared" si="32"/>
        <v>9.375E-2</v>
      </c>
      <c r="DQ28" s="15"/>
    </row>
    <row r="29" spans="1:121" x14ac:dyDescent="0.3">
      <c r="A29" s="1" t="s">
        <v>159</v>
      </c>
      <c r="B29" s="1" t="s">
        <v>148</v>
      </c>
      <c r="C29" s="7"/>
      <c r="D29" s="7"/>
      <c r="E29" s="7"/>
      <c r="F29" s="7"/>
      <c r="G29" s="7"/>
      <c r="H29" s="7"/>
      <c r="I29" s="7"/>
      <c r="J29" s="7"/>
      <c r="K29" s="16">
        <f t="shared" si="33"/>
        <v>0</v>
      </c>
      <c r="L29" s="7"/>
      <c r="M29" s="7"/>
      <c r="N29" s="14"/>
      <c r="O29" s="13">
        <f t="shared" si="34"/>
        <v>0</v>
      </c>
      <c r="P29" s="14"/>
      <c r="Q29" s="7">
        <f t="shared" si="35"/>
        <v>0</v>
      </c>
      <c r="R29" s="8"/>
      <c r="S29" s="8"/>
      <c r="T29" s="7"/>
      <c r="U29" s="7"/>
      <c r="V29" s="14"/>
      <c r="W29" s="7">
        <f t="shared" si="36"/>
        <v>0</v>
      </c>
      <c r="X29" s="14"/>
      <c r="Y29" s="7">
        <f t="shared" si="37"/>
        <v>0</v>
      </c>
      <c r="Z29" s="9"/>
      <c r="AA29" s="9"/>
      <c r="AB29" s="7"/>
      <c r="AC29" s="7"/>
      <c r="AD29" s="14"/>
      <c r="AE29" s="7">
        <f t="shared" si="38"/>
        <v>0</v>
      </c>
      <c r="AF29" s="14"/>
      <c r="AG29" s="7">
        <f t="shared" si="39"/>
        <v>0</v>
      </c>
      <c r="AH29" s="9"/>
      <c r="AI29" s="9"/>
      <c r="AJ29" s="7"/>
      <c r="AK29" s="7"/>
      <c r="AL29" s="14"/>
      <c r="AM29" s="7">
        <f t="shared" si="40"/>
        <v>0</v>
      </c>
      <c r="AN29" s="14"/>
      <c r="AO29" s="7">
        <f t="shared" si="41"/>
        <v>0</v>
      </c>
      <c r="AP29" s="9"/>
      <c r="AQ29" s="9"/>
      <c r="AR29" s="7"/>
      <c r="AS29" s="7"/>
      <c r="AT29" s="14"/>
      <c r="AU29" s="7">
        <f t="shared" si="42"/>
        <v>0</v>
      </c>
      <c r="AV29" s="14"/>
      <c r="AW29" s="7">
        <f t="shared" si="43"/>
        <v>0</v>
      </c>
      <c r="AX29" s="9"/>
      <c r="AY29" s="9"/>
      <c r="AZ29" s="7"/>
      <c r="BA29" s="7"/>
      <c r="BB29" s="14"/>
      <c r="BC29" s="7">
        <f t="shared" si="44"/>
        <v>0</v>
      </c>
      <c r="BD29" s="14"/>
      <c r="BE29" s="7">
        <f t="shared" si="45"/>
        <v>0</v>
      </c>
      <c r="BF29" s="9"/>
      <c r="BG29" s="9"/>
      <c r="BH29" s="7"/>
      <c r="BI29" s="7"/>
      <c r="BJ29" s="14"/>
      <c r="BK29" s="7">
        <f t="shared" si="46"/>
        <v>0</v>
      </c>
      <c r="BL29" s="14"/>
      <c r="BM29" s="7">
        <f t="shared" si="47"/>
        <v>0</v>
      </c>
      <c r="BN29" s="9"/>
      <c r="BO29" s="9"/>
      <c r="BP29" s="7"/>
      <c r="BQ29" s="7"/>
      <c r="BR29" s="14"/>
      <c r="BS29" s="7">
        <f t="shared" si="48"/>
        <v>0</v>
      </c>
      <c r="BT29" s="14"/>
      <c r="BU29" s="7">
        <f t="shared" si="49"/>
        <v>0</v>
      </c>
      <c r="BV29" s="9"/>
      <c r="BW29" s="9"/>
      <c r="BX29" s="7"/>
      <c r="BY29" s="7"/>
      <c r="BZ29" s="10"/>
      <c r="CA29" s="7">
        <f t="shared" si="50"/>
        <v>0</v>
      </c>
      <c r="CB29" s="14"/>
      <c r="CC29" s="7">
        <f t="shared" si="51"/>
        <v>0</v>
      </c>
      <c r="CD29" s="9"/>
      <c r="CE29" s="9"/>
      <c r="CF29" s="7">
        <v>1400</v>
      </c>
      <c r="CG29" s="7">
        <v>1866.6666666666667</v>
      </c>
      <c r="CH29" s="14">
        <v>0.65</v>
      </c>
      <c r="CI29" s="7">
        <f t="shared" si="52"/>
        <v>910</v>
      </c>
      <c r="CJ29" s="14">
        <v>0.65</v>
      </c>
      <c r="CK29" s="13">
        <f t="shared" si="53"/>
        <v>1213.3333333333335</v>
      </c>
      <c r="CL29" s="9"/>
      <c r="CM29" s="9"/>
      <c r="CN29" s="7">
        <v>1400</v>
      </c>
      <c r="CO29" s="7">
        <v>1866.6666666666667</v>
      </c>
      <c r="CP29" s="14">
        <v>0.65</v>
      </c>
      <c r="CQ29" s="13">
        <f t="shared" si="54"/>
        <v>910</v>
      </c>
      <c r="CR29" s="14">
        <v>0.65</v>
      </c>
      <c r="CS29" s="13">
        <f t="shared" si="55"/>
        <v>1213.3333333333335</v>
      </c>
      <c r="CT29" s="9"/>
      <c r="CU29" s="9"/>
      <c r="CV29" s="7">
        <v>1400</v>
      </c>
      <c r="CW29" s="7">
        <v>1866.6666666666667</v>
      </c>
      <c r="CX29" s="14">
        <v>0.65</v>
      </c>
      <c r="CY29" s="13">
        <f t="shared" si="56"/>
        <v>910</v>
      </c>
      <c r="CZ29" s="14">
        <v>0.65</v>
      </c>
      <c r="DA29" s="7">
        <f t="shared" si="57"/>
        <v>1213.3333333333335</v>
      </c>
      <c r="DB29" s="9"/>
      <c r="DC29" s="9"/>
      <c r="DD29" s="7">
        <f t="shared" si="25"/>
        <v>4200</v>
      </c>
      <c r="DE29" s="7">
        <f t="shared" si="58"/>
        <v>2730</v>
      </c>
      <c r="DF29" s="10">
        <f t="shared" si="59"/>
        <v>0.65</v>
      </c>
      <c r="DG29" s="7">
        <f t="shared" si="60"/>
        <v>5600</v>
      </c>
      <c r="DH29" s="7">
        <f t="shared" si="61"/>
        <v>3640.0000000000005</v>
      </c>
      <c r="DI29" s="14">
        <f t="shared" si="62"/>
        <v>0.65000000000000013</v>
      </c>
      <c r="DJ29" s="11">
        <f t="shared" si="63"/>
        <v>0</v>
      </c>
      <c r="DK29" s="11">
        <f t="shared" si="64"/>
        <v>0</v>
      </c>
      <c r="DL29" s="29" t="s">
        <v>167</v>
      </c>
      <c r="DM29" s="7">
        <v>44800</v>
      </c>
      <c r="DN29" s="7"/>
      <c r="DO29" s="7"/>
      <c r="DP29" s="12">
        <f t="shared" si="32"/>
        <v>9.375E-2</v>
      </c>
      <c r="DQ29" s="15"/>
    </row>
    <row r="30" spans="1:121" x14ac:dyDescent="0.3">
      <c r="A30" s="1" t="s">
        <v>159</v>
      </c>
      <c r="B30" s="1" t="s">
        <v>149</v>
      </c>
      <c r="C30" s="7"/>
      <c r="D30" s="7"/>
      <c r="E30" s="7"/>
      <c r="F30" s="7"/>
      <c r="G30" s="7"/>
      <c r="H30" s="7"/>
      <c r="I30" s="7"/>
      <c r="J30" s="7"/>
      <c r="K30" s="16">
        <f t="shared" si="33"/>
        <v>0</v>
      </c>
      <c r="L30" s="7"/>
      <c r="M30" s="7"/>
      <c r="N30" s="14"/>
      <c r="O30" s="13">
        <f t="shared" si="34"/>
        <v>0</v>
      </c>
      <c r="P30" s="14"/>
      <c r="Q30" s="7">
        <f t="shared" si="35"/>
        <v>0</v>
      </c>
      <c r="R30" s="8"/>
      <c r="S30" s="8"/>
      <c r="T30" s="7"/>
      <c r="U30" s="7"/>
      <c r="V30" s="14"/>
      <c r="W30" s="7">
        <f t="shared" si="36"/>
        <v>0</v>
      </c>
      <c r="X30" s="14"/>
      <c r="Y30" s="7">
        <f t="shared" si="37"/>
        <v>0</v>
      </c>
      <c r="Z30" s="9"/>
      <c r="AA30" s="9"/>
      <c r="AB30" s="7"/>
      <c r="AC30" s="7"/>
      <c r="AD30" s="14"/>
      <c r="AE30" s="7">
        <f t="shared" si="38"/>
        <v>0</v>
      </c>
      <c r="AF30" s="14"/>
      <c r="AG30" s="7">
        <f t="shared" si="39"/>
        <v>0</v>
      </c>
      <c r="AH30" s="9"/>
      <c r="AI30" s="9"/>
      <c r="AJ30" s="7"/>
      <c r="AK30" s="7"/>
      <c r="AL30" s="14"/>
      <c r="AM30" s="7">
        <f t="shared" si="40"/>
        <v>0</v>
      </c>
      <c r="AN30" s="14"/>
      <c r="AO30" s="7">
        <f t="shared" si="41"/>
        <v>0</v>
      </c>
      <c r="AP30" s="9"/>
      <c r="AQ30" s="9"/>
      <c r="AR30" s="7"/>
      <c r="AS30" s="7"/>
      <c r="AT30" s="14"/>
      <c r="AU30" s="7">
        <f t="shared" si="42"/>
        <v>0</v>
      </c>
      <c r="AV30" s="14"/>
      <c r="AW30" s="7">
        <f t="shared" si="43"/>
        <v>0</v>
      </c>
      <c r="AX30" s="9"/>
      <c r="AY30" s="9"/>
      <c r="AZ30" s="7"/>
      <c r="BA30" s="7"/>
      <c r="BB30" s="14"/>
      <c r="BC30" s="7">
        <f t="shared" si="44"/>
        <v>0</v>
      </c>
      <c r="BD30" s="14"/>
      <c r="BE30" s="7">
        <f t="shared" si="45"/>
        <v>0</v>
      </c>
      <c r="BF30" s="9"/>
      <c r="BG30" s="9"/>
      <c r="BH30" s="7"/>
      <c r="BI30" s="7"/>
      <c r="BJ30" s="14"/>
      <c r="BK30" s="7">
        <f t="shared" si="46"/>
        <v>0</v>
      </c>
      <c r="BL30" s="14"/>
      <c r="BM30" s="7">
        <f t="shared" si="47"/>
        <v>0</v>
      </c>
      <c r="BN30" s="9"/>
      <c r="BO30" s="9"/>
      <c r="BP30" s="7"/>
      <c r="BQ30" s="7"/>
      <c r="BR30" s="14"/>
      <c r="BS30" s="7">
        <f t="shared" si="48"/>
        <v>0</v>
      </c>
      <c r="BT30" s="14"/>
      <c r="BU30" s="7">
        <f t="shared" si="49"/>
        <v>0</v>
      </c>
      <c r="BV30" s="9"/>
      <c r="BW30" s="9"/>
      <c r="BX30" s="7"/>
      <c r="BY30" s="7"/>
      <c r="BZ30" s="10"/>
      <c r="CA30" s="7">
        <f t="shared" si="50"/>
        <v>0</v>
      </c>
      <c r="CB30" s="14"/>
      <c r="CC30" s="7">
        <f t="shared" si="51"/>
        <v>0</v>
      </c>
      <c r="CD30" s="9"/>
      <c r="CE30" s="9"/>
      <c r="CF30" s="7">
        <v>1400</v>
      </c>
      <c r="CG30" s="7">
        <v>1866.6666666666667</v>
      </c>
      <c r="CH30" s="14">
        <v>0.65</v>
      </c>
      <c r="CI30" s="7">
        <f t="shared" si="52"/>
        <v>910</v>
      </c>
      <c r="CJ30" s="14">
        <v>0.65</v>
      </c>
      <c r="CK30" s="13">
        <f t="shared" si="53"/>
        <v>1213.3333333333335</v>
      </c>
      <c r="CL30" s="9"/>
      <c r="CM30" s="9"/>
      <c r="CN30" s="7">
        <v>1400</v>
      </c>
      <c r="CO30" s="7">
        <v>1866.6666666666667</v>
      </c>
      <c r="CP30" s="14">
        <v>0.65</v>
      </c>
      <c r="CQ30" s="13">
        <f t="shared" si="54"/>
        <v>910</v>
      </c>
      <c r="CR30" s="14">
        <v>0.65</v>
      </c>
      <c r="CS30" s="13">
        <f t="shared" si="55"/>
        <v>1213.3333333333335</v>
      </c>
      <c r="CT30" s="9"/>
      <c r="CU30" s="9"/>
      <c r="CV30" s="7">
        <v>1400</v>
      </c>
      <c r="CW30" s="7">
        <v>1866.6666666666667</v>
      </c>
      <c r="CX30" s="14">
        <v>0.65</v>
      </c>
      <c r="CY30" s="13">
        <f t="shared" si="56"/>
        <v>910</v>
      </c>
      <c r="CZ30" s="14">
        <v>0.65</v>
      </c>
      <c r="DA30" s="7">
        <f t="shared" si="57"/>
        <v>1213.3333333333335</v>
      </c>
      <c r="DB30" s="9"/>
      <c r="DC30" s="9"/>
      <c r="DD30" s="7">
        <f t="shared" si="25"/>
        <v>4200</v>
      </c>
      <c r="DE30" s="7">
        <f t="shared" si="58"/>
        <v>2730</v>
      </c>
      <c r="DF30" s="10">
        <f t="shared" si="59"/>
        <v>0.65</v>
      </c>
      <c r="DG30" s="7">
        <f t="shared" si="60"/>
        <v>5600</v>
      </c>
      <c r="DH30" s="7">
        <f t="shared" si="61"/>
        <v>3640.0000000000005</v>
      </c>
      <c r="DI30" s="14">
        <f t="shared" si="62"/>
        <v>0.65000000000000013</v>
      </c>
      <c r="DJ30" s="11">
        <f t="shared" si="63"/>
        <v>0</v>
      </c>
      <c r="DK30" s="11">
        <f t="shared" si="64"/>
        <v>0</v>
      </c>
      <c r="DL30" s="29" t="s">
        <v>167</v>
      </c>
      <c r="DM30" s="7">
        <v>560000</v>
      </c>
      <c r="DN30" s="7"/>
      <c r="DO30" s="7"/>
      <c r="DP30" s="12">
        <f t="shared" si="32"/>
        <v>7.4999999999999997E-3</v>
      </c>
      <c r="DQ30" s="15"/>
    </row>
    <row r="31" spans="1:121" x14ac:dyDescent="0.3">
      <c r="A31" s="1" t="s">
        <v>159</v>
      </c>
      <c r="B31" s="1" t="s">
        <v>150</v>
      </c>
      <c r="C31" s="7"/>
      <c r="D31" s="7"/>
      <c r="E31" s="7"/>
      <c r="F31" s="7"/>
      <c r="G31" s="7"/>
      <c r="H31" s="7"/>
      <c r="I31" s="7"/>
      <c r="J31" s="7"/>
      <c r="K31" s="16">
        <f t="shared" si="33"/>
        <v>0</v>
      </c>
      <c r="L31" s="7"/>
      <c r="M31" s="7"/>
      <c r="N31" s="14"/>
      <c r="O31" s="13">
        <f t="shared" si="34"/>
        <v>0</v>
      </c>
      <c r="P31" s="14"/>
      <c r="Q31" s="7">
        <f t="shared" si="35"/>
        <v>0</v>
      </c>
      <c r="R31" s="8"/>
      <c r="S31" s="8"/>
      <c r="T31" s="7"/>
      <c r="U31" s="7"/>
      <c r="V31" s="14"/>
      <c r="W31" s="7">
        <f t="shared" si="36"/>
        <v>0</v>
      </c>
      <c r="X31" s="14"/>
      <c r="Y31" s="7">
        <f t="shared" si="37"/>
        <v>0</v>
      </c>
      <c r="Z31" s="9"/>
      <c r="AA31" s="9"/>
      <c r="AB31" s="7"/>
      <c r="AC31" s="7"/>
      <c r="AD31" s="14"/>
      <c r="AE31" s="7">
        <f t="shared" si="38"/>
        <v>0</v>
      </c>
      <c r="AF31" s="14"/>
      <c r="AG31" s="7">
        <f t="shared" si="39"/>
        <v>0</v>
      </c>
      <c r="AH31" s="9"/>
      <c r="AI31" s="9"/>
      <c r="AJ31" s="7"/>
      <c r="AK31" s="7"/>
      <c r="AL31" s="14"/>
      <c r="AM31" s="7">
        <f t="shared" si="40"/>
        <v>0</v>
      </c>
      <c r="AN31" s="14"/>
      <c r="AO31" s="7">
        <f t="shared" si="41"/>
        <v>0</v>
      </c>
      <c r="AP31" s="9"/>
      <c r="AQ31" s="9"/>
      <c r="AR31" s="7"/>
      <c r="AS31" s="7"/>
      <c r="AT31" s="14"/>
      <c r="AU31" s="7">
        <f t="shared" si="42"/>
        <v>0</v>
      </c>
      <c r="AV31" s="14"/>
      <c r="AW31" s="7">
        <f t="shared" si="43"/>
        <v>0</v>
      </c>
      <c r="AX31" s="9"/>
      <c r="AY31" s="9"/>
      <c r="AZ31" s="7"/>
      <c r="BA31" s="7"/>
      <c r="BB31" s="14"/>
      <c r="BC31" s="7">
        <f t="shared" si="44"/>
        <v>0</v>
      </c>
      <c r="BD31" s="14"/>
      <c r="BE31" s="7">
        <f t="shared" si="45"/>
        <v>0</v>
      </c>
      <c r="BF31" s="9"/>
      <c r="BG31" s="9"/>
      <c r="BH31" s="7"/>
      <c r="BI31" s="7"/>
      <c r="BJ31" s="14"/>
      <c r="BK31" s="7">
        <f t="shared" si="46"/>
        <v>0</v>
      </c>
      <c r="BL31" s="14"/>
      <c r="BM31" s="7">
        <f t="shared" si="47"/>
        <v>0</v>
      </c>
      <c r="BN31" s="9"/>
      <c r="BO31" s="9"/>
      <c r="BP31" s="7"/>
      <c r="BQ31" s="7"/>
      <c r="BR31" s="14"/>
      <c r="BS31" s="7">
        <f t="shared" si="48"/>
        <v>0</v>
      </c>
      <c r="BT31" s="14"/>
      <c r="BU31" s="7">
        <f t="shared" si="49"/>
        <v>0</v>
      </c>
      <c r="BV31" s="9"/>
      <c r="BW31" s="9"/>
      <c r="BX31" s="7"/>
      <c r="BY31" s="7"/>
      <c r="BZ31" s="10"/>
      <c r="CA31" s="7">
        <f t="shared" si="50"/>
        <v>0</v>
      </c>
      <c r="CB31" s="14"/>
      <c r="CC31" s="7">
        <f t="shared" si="51"/>
        <v>0</v>
      </c>
      <c r="CD31" s="9"/>
      <c r="CE31" s="9"/>
      <c r="CF31" s="7">
        <v>1400</v>
      </c>
      <c r="CG31" s="7">
        <v>1866.6666666666667</v>
      </c>
      <c r="CH31" s="14">
        <v>0.65</v>
      </c>
      <c r="CI31" s="7">
        <f t="shared" si="52"/>
        <v>910</v>
      </c>
      <c r="CJ31" s="14">
        <v>0.65</v>
      </c>
      <c r="CK31" s="13">
        <f t="shared" si="53"/>
        <v>1213.3333333333335</v>
      </c>
      <c r="CL31" s="9"/>
      <c r="CM31" s="9"/>
      <c r="CN31" s="7">
        <v>1400</v>
      </c>
      <c r="CO31" s="7">
        <v>1866.6666666666667</v>
      </c>
      <c r="CP31" s="14">
        <v>0.65</v>
      </c>
      <c r="CQ31" s="13">
        <f t="shared" si="54"/>
        <v>910</v>
      </c>
      <c r="CR31" s="14">
        <v>0.65</v>
      </c>
      <c r="CS31" s="13">
        <f t="shared" si="55"/>
        <v>1213.3333333333335</v>
      </c>
      <c r="CT31" s="9"/>
      <c r="CU31" s="9"/>
      <c r="CV31" s="7">
        <v>1400</v>
      </c>
      <c r="CW31" s="7">
        <v>1866.6666666666667</v>
      </c>
      <c r="CX31" s="14">
        <v>0.65</v>
      </c>
      <c r="CY31" s="13">
        <f t="shared" si="56"/>
        <v>910</v>
      </c>
      <c r="CZ31" s="14">
        <v>0.65</v>
      </c>
      <c r="DA31" s="7">
        <f t="shared" si="57"/>
        <v>1213.3333333333335</v>
      </c>
      <c r="DB31" s="9"/>
      <c r="DC31" s="9"/>
      <c r="DD31" s="7">
        <f t="shared" si="25"/>
        <v>4200</v>
      </c>
      <c r="DE31" s="7">
        <f t="shared" si="58"/>
        <v>2730</v>
      </c>
      <c r="DF31" s="10">
        <f t="shared" si="59"/>
        <v>0.65</v>
      </c>
      <c r="DG31" s="7">
        <f t="shared" si="60"/>
        <v>5600</v>
      </c>
      <c r="DH31" s="7">
        <f t="shared" si="61"/>
        <v>3640.0000000000005</v>
      </c>
      <c r="DI31" s="14">
        <f t="shared" si="62"/>
        <v>0.65000000000000013</v>
      </c>
      <c r="DJ31" s="11">
        <f t="shared" si="63"/>
        <v>0</v>
      </c>
      <c r="DK31" s="11">
        <f t="shared" si="64"/>
        <v>0</v>
      </c>
      <c r="DL31" s="29" t="s">
        <v>167</v>
      </c>
      <c r="DM31" s="7">
        <v>44800</v>
      </c>
      <c r="DN31" s="7"/>
      <c r="DO31" s="7"/>
      <c r="DP31" s="12">
        <f t="shared" si="32"/>
        <v>9.375E-2</v>
      </c>
      <c r="DQ31" s="15"/>
    </row>
    <row r="32" spans="1:121" x14ac:dyDescent="0.3">
      <c r="A32" s="1" t="s">
        <v>157</v>
      </c>
      <c r="B32" s="1" t="s">
        <v>151</v>
      </c>
      <c r="C32" s="7"/>
      <c r="D32" s="7"/>
      <c r="E32" s="7"/>
      <c r="F32" s="7"/>
      <c r="G32" s="7"/>
      <c r="H32" s="7"/>
      <c r="I32" s="7"/>
      <c r="J32" s="7"/>
      <c r="K32" s="16">
        <f t="shared" si="33"/>
        <v>0</v>
      </c>
      <c r="L32" s="7"/>
      <c r="M32" s="7"/>
      <c r="N32" s="14"/>
      <c r="O32" s="13">
        <f t="shared" si="34"/>
        <v>0</v>
      </c>
      <c r="P32" s="14"/>
      <c r="Q32" s="7">
        <f t="shared" si="35"/>
        <v>0</v>
      </c>
      <c r="R32" s="8"/>
      <c r="S32" s="8"/>
      <c r="T32" s="7"/>
      <c r="U32" s="7"/>
      <c r="V32" s="14"/>
      <c r="W32" s="7">
        <f t="shared" si="36"/>
        <v>0</v>
      </c>
      <c r="X32" s="14"/>
      <c r="Y32" s="7">
        <f t="shared" si="37"/>
        <v>0</v>
      </c>
      <c r="Z32" s="9"/>
      <c r="AA32" s="9"/>
      <c r="AB32" s="7"/>
      <c r="AC32" s="7"/>
      <c r="AD32" s="14"/>
      <c r="AE32" s="7">
        <f t="shared" si="38"/>
        <v>0</v>
      </c>
      <c r="AF32" s="14"/>
      <c r="AG32" s="7">
        <f t="shared" si="39"/>
        <v>0</v>
      </c>
      <c r="AH32" s="9"/>
      <c r="AI32" s="9"/>
      <c r="AJ32" s="7"/>
      <c r="AK32" s="7"/>
      <c r="AL32" s="14"/>
      <c r="AM32" s="7">
        <f t="shared" si="40"/>
        <v>0</v>
      </c>
      <c r="AN32" s="14"/>
      <c r="AO32" s="7">
        <f t="shared" si="41"/>
        <v>0</v>
      </c>
      <c r="AP32" s="9"/>
      <c r="AQ32" s="9"/>
      <c r="AR32" s="7"/>
      <c r="AS32" s="7"/>
      <c r="AT32" s="14"/>
      <c r="AU32" s="7">
        <f t="shared" si="42"/>
        <v>0</v>
      </c>
      <c r="AV32" s="14"/>
      <c r="AW32" s="7">
        <f t="shared" si="43"/>
        <v>0</v>
      </c>
      <c r="AX32" s="9"/>
      <c r="AY32" s="9"/>
      <c r="AZ32" s="7"/>
      <c r="BA32" s="7"/>
      <c r="BB32" s="14"/>
      <c r="BC32" s="7">
        <f t="shared" si="44"/>
        <v>0</v>
      </c>
      <c r="BD32" s="14"/>
      <c r="BE32" s="7">
        <f t="shared" si="45"/>
        <v>0</v>
      </c>
      <c r="BF32" s="9"/>
      <c r="BG32" s="9"/>
      <c r="BH32" s="7"/>
      <c r="BI32" s="7"/>
      <c r="BJ32" s="14"/>
      <c r="BK32" s="7">
        <f t="shared" si="46"/>
        <v>0</v>
      </c>
      <c r="BL32" s="14"/>
      <c r="BM32" s="7">
        <f t="shared" si="47"/>
        <v>0</v>
      </c>
      <c r="BN32" s="9"/>
      <c r="BO32" s="9"/>
      <c r="BP32" s="7"/>
      <c r="BQ32" s="7"/>
      <c r="BR32" s="14"/>
      <c r="BS32" s="7">
        <f t="shared" si="48"/>
        <v>0</v>
      </c>
      <c r="BT32" s="14"/>
      <c r="BU32" s="7">
        <f t="shared" si="49"/>
        <v>0</v>
      </c>
      <c r="BV32" s="9"/>
      <c r="BW32" s="9"/>
      <c r="BX32" s="7"/>
      <c r="BY32" s="7"/>
      <c r="BZ32" s="10"/>
      <c r="CA32" s="7">
        <f t="shared" si="50"/>
        <v>0</v>
      </c>
      <c r="CB32" s="14"/>
      <c r="CC32" s="7">
        <f t="shared" si="51"/>
        <v>0</v>
      </c>
      <c r="CD32" s="9"/>
      <c r="CE32" s="9"/>
      <c r="CF32" s="7">
        <v>1400</v>
      </c>
      <c r="CG32" s="7">
        <v>1866.6666666666667</v>
      </c>
      <c r="CH32" s="14">
        <v>0.5</v>
      </c>
      <c r="CI32" s="7">
        <f t="shared" si="52"/>
        <v>700</v>
      </c>
      <c r="CJ32" s="14">
        <v>0.5</v>
      </c>
      <c r="CK32" s="13">
        <f t="shared" si="53"/>
        <v>933.33333333333337</v>
      </c>
      <c r="CL32" s="9"/>
      <c r="CM32" s="9"/>
      <c r="CN32" s="7">
        <v>1400</v>
      </c>
      <c r="CO32" s="7">
        <v>1866.6666666666667</v>
      </c>
      <c r="CP32" s="14">
        <v>0.5</v>
      </c>
      <c r="CQ32" s="13">
        <f t="shared" si="54"/>
        <v>700</v>
      </c>
      <c r="CR32" s="14">
        <v>0.5</v>
      </c>
      <c r="CS32" s="13">
        <f t="shared" si="55"/>
        <v>933.33333333333337</v>
      </c>
      <c r="CT32" s="9"/>
      <c r="CU32" s="9"/>
      <c r="CV32" s="7">
        <v>1400</v>
      </c>
      <c r="CW32" s="7">
        <v>1866.6666666666667</v>
      </c>
      <c r="CX32" s="14">
        <v>0.5</v>
      </c>
      <c r="CY32" s="13">
        <f t="shared" si="56"/>
        <v>700</v>
      </c>
      <c r="CZ32" s="14">
        <v>0.5</v>
      </c>
      <c r="DA32" s="7">
        <f t="shared" si="57"/>
        <v>933.33333333333337</v>
      </c>
      <c r="DB32" s="9"/>
      <c r="DC32" s="9"/>
      <c r="DD32" s="7">
        <f t="shared" si="25"/>
        <v>4200</v>
      </c>
      <c r="DE32" s="7">
        <f t="shared" si="58"/>
        <v>2100</v>
      </c>
      <c r="DF32" s="10">
        <f t="shared" si="59"/>
        <v>0.5</v>
      </c>
      <c r="DG32" s="7">
        <f t="shared" si="60"/>
        <v>5600</v>
      </c>
      <c r="DH32" s="7">
        <f t="shared" si="61"/>
        <v>2800</v>
      </c>
      <c r="DI32" s="14">
        <f t="shared" si="62"/>
        <v>0.5</v>
      </c>
      <c r="DJ32" s="11">
        <f t="shared" si="63"/>
        <v>0</v>
      </c>
      <c r="DK32" s="11">
        <f t="shared" si="64"/>
        <v>0</v>
      </c>
      <c r="DL32" s="29" t="s">
        <v>166</v>
      </c>
      <c r="DM32" s="7">
        <v>22400</v>
      </c>
      <c r="DN32" s="7"/>
      <c r="DO32" s="7"/>
      <c r="DP32" s="12">
        <f t="shared" si="32"/>
        <v>0.1875</v>
      </c>
      <c r="DQ32" s="15"/>
    </row>
    <row r="33" spans="1:121" x14ac:dyDescent="0.3">
      <c r="A33" s="1" t="s">
        <v>157</v>
      </c>
      <c r="B33" s="1" t="s">
        <v>152</v>
      </c>
      <c r="C33" s="7"/>
      <c r="D33" s="7"/>
      <c r="E33" s="7"/>
      <c r="F33" s="7"/>
      <c r="G33" s="7"/>
      <c r="H33" s="7"/>
      <c r="I33" s="7"/>
      <c r="J33" s="7"/>
      <c r="K33" s="16">
        <f t="shared" si="33"/>
        <v>0</v>
      </c>
      <c r="L33" s="7"/>
      <c r="M33" s="7"/>
      <c r="N33" s="14"/>
      <c r="O33" s="13">
        <f t="shared" si="34"/>
        <v>0</v>
      </c>
      <c r="P33" s="14"/>
      <c r="Q33" s="7">
        <f t="shared" si="35"/>
        <v>0</v>
      </c>
      <c r="R33" s="8"/>
      <c r="S33" s="8"/>
      <c r="T33" s="7"/>
      <c r="U33" s="7"/>
      <c r="V33" s="14"/>
      <c r="W33" s="7">
        <f t="shared" si="36"/>
        <v>0</v>
      </c>
      <c r="X33" s="14"/>
      <c r="Y33" s="7">
        <f t="shared" si="37"/>
        <v>0</v>
      </c>
      <c r="Z33" s="9"/>
      <c r="AA33" s="9"/>
      <c r="AB33" s="7"/>
      <c r="AC33" s="7"/>
      <c r="AD33" s="14"/>
      <c r="AE33" s="7">
        <f t="shared" si="38"/>
        <v>0</v>
      </c>
      <c r="AF33" s="14"/>
      <c r="AG33" s="7">
        <f t="shared" si="39"/>
        <v>0</v>
      </c>
      <c r="AH33" s="9"/>
      <c r="AI33" s="9"/>
      <c r="AJ33" s="7"/>
      <c r="AK33" s="7"/>
      <c r="AL33" s="14"/>
      <c r="AM33" s="7">
        <f t="shared" si="40"/>
        <v>0</v>
      </c>
      <c r="AN33" s="14"/>
      <c r="AO33" s="7">
        <f t="shared" si="41"/>
        <v>0</v>
      </c>
      <c r="AP33" s="9"/>
      <c r="AQ33" s="9"/>
      <c r="AR33" s="7"/>
      <c r="AS33" s="7"/>
      <c r="AT33" s="14"/>
      <c r="AU33" s="7">
        <f t="shared" si="42"/>
        <v>0</v>
      </c>
      <c r="AV33" s="14"/>
      <c r="AW33" s="7">
        <f t="shared" si="43"/>
        <v>0</v>
      </c>
      <c r="AX33" s="9"/>
      <c r="AY33" s="9"/>
      <c r="AZ33" s="7"/>
      <c r="BA33" s="7"/>
      <c r="BB33" s="14"/>
      <c r="BC33" s="7">
        <f t="shared" si="44"/>
        <v>0</v>
      </c>
      <c r="BD33" s="14"/>
      <c r="BE33" s="7">
        <f t="shared" si="45"/>
        <v>0</v>
      </c>
      <c r="BF33" s="9"/>
      <c r="BG33" s="9"/>
      <c r="BH33" s="7"/>
      <c r="BI33" s="7"/>
      <c r="BJ33" s="14"/>
      <c r="BK33" s="7">
        <f t="shared" si="46"/>
        <v>0</v>
      </c>
      <c r="BL33" s="14"/>
      <c r="BM33" s="7">
        <f t="shared" si="47"/>
        <v>0</v>
      </c>
      <c r="BN33" s="9"/>
      <c r="BO33" s="9"/>
      <c r="BP33" s="7"/>
      <c r="BQ33" s="7"/>
      <c r="BR33" s="14"/>
      <c r="BS33" s="7">
        <f t="shared" si="48"/>
        <v>0</v>
      </c>
      <c r="BT33" s="14"/>
      <c r="BU33" s="7">
        <f t="shared" si="49"/>
        <v>0</v>
      </c>
      <c r="BV33" s="9"/>
      <c r="BW33" s="9"/>
      <c r="BX33" s="7"/>
      <c r="BY33" s="7"/>
      <c r="BZ33" s="10"/>
      <c r="CA33" s="7">
        <f t="shared" si="50"/>
        <v>0</v>
      </c>
      <c r="CB33" s="14"/>
      <c r="CC33" s="7">
        <f t="shared" si="51"/>
        <v>0</v>
      </c>
      <c r="CD33" s="9"/>
      <c r="CE33" s="9"/>
      <c r="CF33" s="7">
        <v>4200</v>
      </c>
      <c r="CG33" s="7">
        <v>5600</v>
      </c>
      <c r="CH33" s="14">
        <v>0.5</v>
      </c>
      <c r="CI33" s="7">
        <f t="shared" si="52"/>
        <v>2100</v>
      </c>
      <c r="CJ33" s="14">
        <v>0.5</v>
      </c>
      <c r="CK33" s="13">
        <f t="shared" si="53"/>
        <v>2800</v>
      </c>
      <c r="CL33" s="9"/>
      <c r="CM33" s="9"/>
      <c r="CN33" s="7">
        <v>4200</v>
      </c>
      <c r="CO33" s="7">
        <v>5600</v>
      </c>
      <c r="CP33" s="14">
        <v>0.5</v>
      </c>
      <c r="CQ33" s="13">
        <f t="shared" si="54"/>
        <v>2100</v>
      </c>
      <c r="CR33" s="14">
        <v>0.5</v>
      </c>
      <c r="CS33" s="13">
        <f t="shared" si="55"/>
        <v>2800</v>
      </c>
      <c r="CT33" s="9"/>
      <c r="CU33" s="9"/>
      <c r="CV33" s="7">
        <v>4200</v>
      </c>
      <c r="CW33" s="7">
        <v>5600</v>
      </c>
      <c r="CX33" s="14">
        <v>0.5</v>
      </c>
      <c r="CY33" s="13">
        <f t="shared" si="56"/>
        <v>2100</v>
      </c>
      <c r="CZ33" s="14">
        <v>0.5</v>
      </c>
      <c r="DA33" s="7">
        <f t="shared" si="57"/>
        <v>2800</v>
      </c>
      <c r="DB33" s="9"/>
      <c r="DC33" s="9"/>
      <c r="DD33" s="7">
        <f t="shared" si="25"/>
        <v>12600</v>
      </c>
      <c r="DE33" s="7">
        <f t="shared" si="58"/>
        <v>6300</v>
      </c>
      <c r="DF33" s="10">
        <f t="shared" si="59"/>
        <v>0.5</v>
      </c>
      <c r="DG33" s="7">
        <f t="shared" si="60"/>
        <v>16800</v>
      </c>
      <c r="DH33" s="7">
        <f t="shared" si="61"/>
        <v>8400</v>
      </c>
      <c r="DI33" s="14">
        <f t="shared" si="62"/>
        <v>0.5</v>
      </c>
      <c r="DJ33" s="11">
        <f t="shared" si="63"/>
        <v>0</v>
      </c>
      <c r="DK33" s="11">
        <f t="shared" si="64"/>
        <v>0</v>
      </c>
      <c r="DL33" s="29" t="s">
        <v>166</v>
      </c>
      <c r="DM33" s="7">
        <v>67200</v>
      </c>
      <c r="DN33" s="7"/>
      <c r="DO33" s="7"/>
      <c r="DP33" s="12">
        <f t="shared" si="32"/>
        <v>0.1875</v>
      </c>
      <c r="DQ33" s="15"/>
    </row>
    <row r="34" spans="1:121" x14ac:dyDescent="0.3">
      <c r="A34" s="32" t="s">
        <v>157</v>
      </c>
      <c r="B34" s="1" t="s">
        <v>153</v>
      </c>
      <c r="C34" s="7"/>
      <c r="D34" s="7"/>
      <c r="E34" s="7"/>
      <c r="F34" s="7"/>
      <c r="G34" s="7"/>
      <c r="H34" s="7"/>
      <c r="I34" s="7"/>
      <c r="J34" s="7"/>
      <c r="K34" s="16">
        <f t="shared" si="33"/>
        <v>0</v>
      </c>
      <c r="L34" s="7"/>
      <c r="M34" s="7"/>
      <c r="N34" s="14"/>
      <c r="O34" s="13">
        <f t="shared" si="34"/>
        <v>0</v>
      </c>
      <c r="P34" s="14"/>
      <c r="Q34" s="7">
        <f t="shared" si="35"/>
        <v>0</v>
      </c>
      <c r="R34" s="8"/>
      <c r="S34" s="8"/>
      <c r="T34" s="7"/>
      <c r="U34" s="7"/>
      <c r="V34" s="14"/>
      <c r="W34" s="7">
        <f t="shared" si="36"/>
        <v>0</v>
      </c>
      <c r="X34" s="14"/>
      <c r="Y34" s="7">
        <f t="shared" si="37"/>
        <v>0</v>
      </c>
      <c r="Z34" s="9"/>
      <c r="AA34" s="9"/>
      <c r="AB34" s="7"/>
      <c r="AC34" s="7"/>
      <c r="AD34" s="14"/>
      <c r="AE34" s="7">
        <f t="shared" si="38"/>
        <v>0</v>
      </c>
      <c r="AF34" s="14"/>
      <c r="AG34" s="7">
        <f t="shared" si="39"/>
        <v>0</v>
      </c>
      <c r="AH34" s="9"/>
      <c r="AI34" s="9"/>
      <c r="AJ34" s="7"/>
      <c r="AK34" s="7"/>
      <c r="AL34" s="14"/>
      <c r="AM34" s="7">
        <f t="shared" si="40"/>
        <v>0</v>
      </c>
      <c r="AN34" s="14"/>
      <c r="AO34" s="7">
        <f t="shared" si="41"/>
        <v>0</v>
      </c>
      <c r="AP34" s="9"/>
      <c r="AQ34" s="9"/>
      <c r="AR34" s="7"/>
      <c r="AS34" s="7"/>
      <c r="AT34" s="14"/>
      <c r="AU34" s="7">
        <f t="shared" si="42"/>
        <v>0</v>
      </c>
      <c r="AV34" s="14"/>
      <c r="AW34" s="7">
        <f t="shared" si="43"/>
        <v>0</v>
      </c>
      <c r="AX34" s="9"/>
      <c r="AY34" s="9"/>
      <c r="AZ34" s="7"/>
      <c r="BA34" s="7"/>
      <c r="BB34" s="14"/>
      <c r="BC34" s="7">
        <f t="shared" si="44"/>
        <v>0</v>
      </c>
      <c r="BD34" s="14"/>
      <c r="BE34" s="7">
        <f t="shared" si="45"/>
        <v>0</v>
      </c>
      <c r="BF34" s="9"/>
      <c r="BG34" s="9"/>
      <c r="BH34" s="7"/>
      <c r="BI34" s="7"/>
      <c r="BJ34" s="14"/>
      <c r="BK34" s="7">
        <f t="shared" si="46"/>
        <v>0</v>
      </c>
      <c r="BL34" s="14"/>
      <c r="BM34" s="7">
        <f t="shared" si="47"/>
        <v>0</v>
      </c>
      <c r="BN34" s="9"/>
      <c r="BO34" s="9"/>
      <c r="BP34" s="7"/>
      <c r="BQ34" s="7"/>
      <c r="BR34" s="14"/>
      <c r="BS34" s="7">
        <f t="shared" si="48"/>
        <v>0</v>
      </c>
      <c r="BT34" s="14"/>
      <c r="BU34" s="7">
        <f t="shared" si="49"/>
        <v>0</v>
      </c>
      <c r="BV34" s="9"/>
      <c r="BW34" s="9"/>
      <c r="BX34" s="7"/>
      <c r="BY34" s="7"/>
      <c r="BZ34" s="10"/>
      <c r="CA34" s="7">
        <f t="shared" si="50"/>
        <v>0</v>
      </c>
      <c r="CB34" s="14"/>
      <c r="CC34" s="7">
        <f t="shared" si="51"/>
        <v>0</v>
      </c>
      <c r="CD34" s="9"/>
      <c r="CE34" s="9"/>
      <c r="CF34" s="7">
        <v>1400</v>
      </c>
      <c r="CG34" s="7">
        <v>1866.6666666666667</v>
      </c>
      <c r="CH34" s="14">
        <v>0.5</v>
      </c>
      <c r="CI34" s="7">
        <f t="shared" si="52"/>
        <v>700</v>
      </c>
      <c r="CJ34" s="14">
        <v>0.5</v>
      </c>
      <c r="CK34" s="13">
        <f t="shared" si="53"/>
        <v>933.33333333333337</v>
      </c>
      <c r="CL34" s="9"/>
      <c r="CM34" s="9"/>
      <c r="CN34" s="7">
        <v>1400</v>
      </c>
      <c r="CO34" s="7">
        <v>1866.6666666666667</v>
      </c>
      <c r="CP34" s="14">
        <v>0.5</v>
      </c>
      <c r="CQ34" s="13">
        <f t="shared" si="54"/>
        <v>700</v>
      </c>
      <c r="CR34" s="14">
        <v>0.5</v>
      </c>
      <c r="CS34" s="13">
        <f t="shared" si="55"/>
        <v>933.33333333333337</v>
      </c>
      <c r="CT34" s="9"/>
      <c r="CU34" s="9"/>
      <c r="CV34" s="7">
        <v>1400</v>
      </c>
      <c r="CW34" s="7">
        <v>1866.6666666666667</v>
      </c>
      <c r="CX34" s="14">
        <v>0.5</v>
      </c>
      <c r="CY34" s="13">
        <f t="shared" si="56"/>
        <v>700</v>
      </c>
      <c r="CZ34" s="14">
        <v>0.5</v>
      </c>
      <c r="DA34" s="7">
        <f t="shared" si="57"/>
        <v>933.33333333333337</v>
      </c>
      <c r="DB34" s="9"/>
      <c r="DC34" s="9"/>
      <c r="DD34" s="7">
        <f t="shared" si="25"/>
        <v>4200</v>
      </c>
      <c r="DE34" s="7">
        <f t="shared" si="58"/>
        <v>2100</v>
      </c>
      <c r="DF34" s="10">
        <f t="shared" si="59"/>
        <v>0.5</v>
      </c>
      <c r="DG34" s="7">
        <f t="shared" si="60"/>
        <v>5600</v>
      </c>
      <c r="DH34" s="7">
        <f t="shared" si="61"/>
        <v>2800</v>
      </c>
      <c r="DI34" s="14">
        <f t="shared" si="62"/>
        <v>0.5</v>
      </c>
      <c r="DJ34" s="11">
        <f t="shared" si="63"/>
        <v>0</v>
      </c>
      <c r="DK34" s="11">
        <f t="shared" si="64"/>
        <v>0</v>
      </c>
      <c r="DL34" s="29" t="s">
        <v>166</v>
      </c>
      <c r="DM34" s="7">
        <v>22400</v>
      </c>
      <c r="DN34" s="7"/>
      <c r="DO34" s="7"/>
      <c r="DP34" s="12">
        <f t="shared" si="32"/>
        <v>0.1875</v>
      </c>
      <c r="DQ34" s="15"/>
    </row>
    <row r="35" spans="1:121" ht="28.8" x14ac:dyDescent="0.3">
      <c r="A35" s="1" t="s">
        <v>156</v>
      </c>
      <c r="B35" s="1" t="s">
        <v>154</v>
      </c>
      <c r="C35" s="7"/>
      <c r="D35" s="7"/>
      <c r="E35" s="7"/>
      <c r="F35" s="7"/>
      <c r="G35" s="7"/>
      <c r="H35" s="7"/>
      <c r="I35" s="7"/>
      <c r="J35" s="7"/>
      <c r="K35" s="16">
        <f t="shared" si="33"/>
        <v>0</v>
      </c>
      <c r="L35" s="7"/>
      <c r="M35" s="7"/>
      <c r="N35" s="14"/>
      <c r="O35" s="13">
        <f t="shared" si="34"/>
        <v>0</v>
      </c>
      <c r="P35" s="14"/>
      <c r="Q35" s="7">
        <f t="shared" si="35"/>
        <v>0</v>
      </c>
      <c r="R35" s="8"/>
      <c r="S35" s="8"/>
      <c r="T35" s="7"/>
      <c r="U35" s="7"/>
      <c r="V35" s="14"/>
      <c r="W35" s="7">
        <f t="shared" si="36"/>
        <v>0</v>
      </c>
      <c r="X35" s="14"/>
      <c r="Y35" s="7">
        <f t="shared" si="37"/>
        <v>0</v>
      </c>
      <c r="Z35" s="9"/>
      <c r="AA35" s="9"/>
      <c r="AB35" s="7"/>
      <c r="AC35" s="7"/>
      <c r="AD35" s="14"/>
      <c r="AE35" s="7">
        <f t="shared" si="38"/>
        <v>0</v>
      </c>
      <c r="AF35" s="14"/>
      <c r="AG35" s="7">
        <f t="shared" si="39"/>
        <v>0</v>
      </c>
      <c r="AH35" s="9"/>
      <c r="AI35" s="9"/>
      <c r="AJ35" s="7"/>
      <c r="AK35" s="7"/>
      <c r="AL35" s="14"/>
      <c r="AM35" s="7">
        <f t="shared" si="40"/>
        <v>0</v>
      </c>
      <c r="AN35" s="14"/>
      <c r="AO35" s="7">
        <f t="shared" si="41"/>
        <v>0</v>
      </c>
      <c r="AP35" s="9"/>
      <c r="AQ35" s="9"/>
      <c r="AR35" s="7"/>
      <c r="AS35" s="7"/>
      <c r="AT35" s="14"/>
      <c r="AU35" s="7">
        <f t="shared" si="42"/>
        <v>0</v>
      </c>
      <c r="AV35" s="14"/>
      <c r="AW35" s="7">
        <f t="shared" si="43"/>
        <v>0</v>
      </c>
      <c r="AX35" s="9"/>
      <c r="AY35" s="9"/>
      <c r="AZ35" s="7"/>
      <c r="BA35" s="7"/>
      <c r="BB35" s="14"/>
      <c r="BC35" s="7">
        <f t="shared" si="44"/>
        <v>0</v>
      </c>
      <c r="BD35" s="14"/>
      <c r="BE35" s="7">
        <f t="shared" si="45"/>
        <v>0</v>
      </c>
      <c r="BF35" s="9"/>
      <c r="BG35" s="9"/>
      <c r="BH35" s="7"/>
      <c r="BI35" s="7"/>
      <c r="BJ35" s="14"/>
      <c r="BK35" s="7">
        <f t="shared" si="46"/>
        <v>0</v>
      </c>
      <c r="BL35" s="14"/>
      <c r="BM35" s="7">
        <f t="shared" si="47"/>
        <v>0</v>
      </c>
      <c r="BN35" s="9"/>
      <c r="BO35" s="9"/>
      <c r="BP35" s="7"/>
      <c r="BQ35" s="7"/>
      <c r="BR35" s="14"/>
      <c r="BS35" s="7">
        <f t="shared" si="48"/>
        <v>0</v>
      </c>
      <c r="BT35" s="14"/>
      <c r="BU35" s="7">
        <f t="shared" si="49"/>
        <v>0</v>
      </c>
      <c r="BV35" s="9"/>
      <c r="BW35" s="9"/>
      <c r="BX35" s="7"/>
      <c r="BY35" s="7"/>
      <c r="BZ35" s="10"/>
      <c r="CA35" s="7">
        <f t="shared" si="50"/>
        <v>0</v>
      </c>
      <c r="CB35" s="14"/>
      <c r="CC35" s="7">
        <f t="shared" si="51"/>
        <v>0</v>
      </c>
      <c r="CD35" s="9"/>
      <c r="CE35" s="9"/>
      <c r="CF35" s="7">
        <v>0</v>
      </c>
      <c r="CG35" s="7">
        <v>0</v>
      </c>
      <c r="CH35" s="14">
        <v>0.45</v>
      </c>
      <c r="CI35" s="7">
        <f t="shared" si="52"/>
        <v>0</v>
      </c>
      <c r="CJ35" s="14">
        <v>0.45</v>
      </c>
      <c r="CK35" s="13">
        <f t="shared" si="53"/>
        <v>0</v>
      </c>
      <c r="CL35" s="9"/>
      <c r="CM35" s="9"/>
      <c r="CN35" s="7">
        <v>0</v>
      </c>
      <c r="CO35" s="7">
        <v>0</v>
      </c>
      <c r="CP35" s="14">
        <v>0.45</v>
      </c>
      <c r="CQ35" s="13">
        <f t="shared" si="54"/>
        <v>0</v>
      </c>
      <c r="CR35" s="14">
        <v>0.45</v>
      </c>
      <c r="CS35" s="13">
        <f t="shared" si="55"/>
        <v>0</v>
      </c>
      <c r="CT35" s="9"/>
      <c r="CU35" s="9"/>
      <c r="CV35" s="7">
        <v>0</v>
      </c>
      <c r="CW35" s="7">
        <v>0</v>
      </c>
      <c r="CX35" s="14">
        <v>0.45</v>
      </c>
      <c r="CY35" s="13">
        <f t="shared" si="56"/>
        <v>0</v>
      </c>
      <c r="CZ35" s="14">
        <v>0.45</v>
      </c>
      <c r="DA35" s="7">
        <f t="shared" si="57"/>
        <v>0</v>
      </c>
      <c r="DB35" s="9"/>
      <c r="DC35" s="9"/>
      <c r="DD35" s="7">
        <f t="shared" si="25"/>
        <v>0</v>
      </c>
      <c r="DE35" s="7">
        <f t="shared" si="58"/>
        <v>0</v>
      </c>
      <c r="DF35" s="10" t="e">
        <f t="shared" si="59"/>
        <v>#DIV/0!</v>
      </c>
      <c r="DG35" s="7">
        <f t="shared" si="60"/>
        <v>0</v>
      </c>
      <c r="DH35" s="7">
        <f t="shared" si="61"/>
        <v>0</v>
      </c>
      <c r="DI35" s="14" t="e">
        <f t="shared" si="62"/>
        <v>#DIV/0!</v>
      </c>
      <c r="DJ35" s="11">
        <f t="shared" si="63"/>
        <v>0</v>
      </c>
      <c r="DK35" s="11">
        <f t="shared" si="64"/>
        <v>0</v>
      </c>
      <c r="DL35" s="29" t="s">
        <v>162</v>
      </c>
      <c r="DM35" s="7">
        <v>4480000</v>
      </c>
      <c r="DN35" s="7"/>
      <c r="DO35" s="7"/>
      <c r="DP35" s="12">
        <f t="shared" si="32"/>
        <v>0</v>
      </c>
      <c r="DQ35" s="15"/>
    </row>
    <row r="36" spans="1:121" x14ac:dyDescent="0.3">
      <c r="A36" s="1" t="s">
        <v>158</v>
      </c>
      <c r="B36" s="1" t="s">
        <v>155</v>
      </c>
      <c r="C36" s="7"/>
      <c r="D36" s="7"/>
      <c r="E36" s="7"/>
      <c r="F36" s="7"/>
      <c r="G36" s="7"/>
      <c r="H36" s="7"/>
      <c r="I36" s="7"/>
      <c r="J36" s="7"/>
      <c r="K36" s="16">
        <f t="shared" si="33"/>
        <v>0</v>
      </c>
      <c r="L36" s="7"/>
      <c r="M36" s="7"/>
      <c r="N36" s="14"/>
      <c r="O36" s="13">
        <f t="shared" si="34"/>
        <v>0</v>
      </c>
      <c r="P36" s="14"/>
      <c r="Q36" s="7">
        <f t="shared" si="35"/>
        <v>0</v>
      </c>
      <c r="R36" s="8"/>
      <c r="S36" s="8"/>
      <c r="T36" s="7"/>
      <c r="U36" s="7"/>
      <c r="V36" s="14"/>
      <c r="W36" s="7">
        <f t="shared" si="36"/>
        <v>0</v>
      </c>
      <c r="X36" s="14"/>
      <c r="Y36" s="7">
        <f t="shared" si="37"/>
        <v>0</v>
      </c>
      <c r="Z36" s="9"/>
      <c r="AA36" s="9"/>
      <c r="AB36" s="7"/>
      <c r="AC36" s="7"/>
      <c r="AD36" s="14"/>
      <c r="AE36" s="7">
        <f t="shared" si="38"/>
        <v>0</v>
      </c>
      <c r="AF36" s="14"/>
      <c r="AG36" s="7">
        <f t="shared" si="39"/>
        <v>0</v>
      </c>
      <c r="AH36" s="9"/>
      <c r="AI36" s="9"/>
      <c r="AJ36" s="7"/>
      <c r="AK36" s="7"/>
      <c r="AL36" s="14"/>
      <c r="AM36" s="7">
        <f t="shared" si="40"/>
        <v>0</v>
      </c>
      <c r="AN36" s="14"/>
      <c r="AO36" s="7">
        <f t="shared" si="41"/>
        <v>0</v>
      </c>
      <c r="AP36" s="9"/>
      <c r="AQ36" s="9"/>
      <c r="AR36" s="7"/>
      <c r="AS36" s="7"/>
      <c r="AT36" s="14"/>
      <c r="AU36" s="7">
        <f t="shared" si="42"/>
        <v>0</v>
      </c>
      <c r="AV36" s="14"/>
      <c r="AW36" s="7">
        <f t="shared" si="43"/>
        <v>0</v>
      </c>
      <c r="AX36" s="9"/>
      <c r="AY36" s="9"/>
      <c r="AZ36" s="7"/>
      <c r="BA36" s="7"/>
      <c r="BB36" s="14"/>
      <c r="BC36" s="7">
        <f t="shared" si="44"/>
        <v>0</v>
      </c>
      <c r="BD36" s="14"/>
      <c r="BE36" s="7">
        <f t="shared" si="45"/>
        <v>0</v>
      </c>
      <c r="BF36" s="9"/>
      <c r="BG36" s="9"/>
      <c r="BH36" s="7"/>
      <c r="BI36" s="7"/>
      <c r="BJ36" s="14"/>
      <c r="BK36" s="7">
        <f t="shared" si="46"/>
        <v>0</v>
      </c>
      <c r="BL36" s="14"/>
      <c r="BM36" s="7">
        <f t="shared" si="47"/>
        <v>0</v>
      </c>
      <c r="BN36" s="9"/>
      <c r="BO36" s="9"/>
      <c r="BP36" s="7"/>
      <c r="BQ36" s="7"/>
      <c r="BR36" s="14"/>
      <c r="BS36" s="7">
        <f t="shared" si="48"/>
        <v>0</v>
      </c>
      <c r="BT36" s="14"/>
      <c r="BU36" s="7">
        <f t="shared" si="49"/>
        <v>0</v>
      </c>
      <c r="BV36" s="9"/>
      <c r="BW36" s="9"/>
      <c r="BX36" s="7"/>
      <c r="BY36" s="7"/>
      <c r="BZ36" s="10"/>
      <c r="CA36" s="7">
        <f t="shared" si="50"/>
        <v>0</v>
      </c>
      <c r="CB36" s="14"/>
      <c r="CC36" s="7">
        <f t="shared" si="51"/>
        <v>0</v>
      </c>
      <c r="CD36" s="9"/>
      <c r="CE36" s="9"/>
      <c r="CF36" s="7">
        <v>2800</v>
      </c>
      <c r="CG36" s="7">
        <v>3733.3333333333335</v>
      </c>
      <c r="CH36" s="14">
        <v>0.47</v>
      </c>
      <c r="CI36" s="7">
        <f t="shared" si="52"/>
        <v>1316</v>
      </c>
      <c r="CJ36" s="14">
        <v>0.47</v>
      </c>
      <c r="CK36" s="13">
        <f t="shared" si="53"/>
        <v>1754.6666666666667</v>
      </c>
      <c r="CL36" s="9"/>
      <c r="CM36" s="9"/>
      <c r="CN36" s="7">
        <v>2800</v>
      </c>
      <c r="CO36" s="7">
        <v>3733.3333333333335</v>
      </c>
      <c r="CP36" s="14">
        <v>0.47</v>
      </c>
      <c r="CQ36" s="13">
        <f t="shared" si="54"/>
        <v>1316</v>
      </c>
      <c r="CR36" s="14">
        <v>0.47</v>
      </c>
      <c r="CS36" s="13">
        <f t="shared" si="55"/>
        <v>1754.6666666666667</v>
      </c>
      <c r="CT36" s="9"/>
      <c r="CU36" s="9"/>
      <c r="CV36" s="7">
        <v>2800</v>
      </c>
      <c r="CW36" s="7">
        <v>3733.3333333333335</v>
      </c>
      <c r="CX36" s="14">
        <v>0.47</v>
      </c>
      <c r="CY36" s="13">
        <f t="shared" si="56"/>
        <v>1316</v>
      </c>
      <c r="CZ36" s="14">
        <v>0.47</v>
      </c>
      <c r="DA36" s="7">
        <f t="shared" si="57"/>
        <v>1754.6666666666667</v>
      </c>
      <c r="DB36" s="9"/>
      <c r="DC36" s="9"/>
      <c r="DD36" s="7">
        <f t="shared" si="25"/>
        <v>8400</v>
      </c>
      <c r="DE36" s="7">
        <f t="shared" si="58"/>
        <v>3948</v>
      </c>
      <c r="DF36" s="10">
        <f t="shared" si="59"/>
        <v>0.47</v>
      </c>
      <c r="DG36" s="7">
        <f t="shared" si="60"/>
        <v>11200</v>
      </c>
      <c r="DH36" s="7">
        <f t="shared" si="61"/>
        <v>5264</v>
      </c>
      <c r="DI36" s="14">
        <f t="shared" si="62"/>
        <v>0.47</v>
      </c>
      <c r="DJ36" s="11">
        <f t="shared" si="63"/>
        <v>0</v>
      </c>
      <c r="DK36" s="11">
        <f t="shared" si="64"/>
        <v>0</v>
      </c>
      <c r="DL36" s="29" t="s">
        <v>165</v>
      </c>
      <c r="DM36" s="7">
        <v>896000</v>
      </c>
      <c r="DN36" s="7"/>
      <c r="DO36" s="7"/>
      <c r="DP36" s="12">
        <f t="shared" si="32"/>
        <v>9.3749999999999997E-3</v>
      </c>
      <c r="DQ36" s="15"/>
    </row>
    <row r="37" spans="1:121" x14ac:dyDescent="0.3">
      <c r="A37" s="1" t="s">
        <v>157</v>
      </c>
      <c r="B37" s="1" t="s">
        <v>160</v>
      </c>
      <c r="C37" s="7"/>
      <c r="D37" s="7"/>
      <c r="E37" s="7"/>
      <c r="F37" s="7"/>
      <c r="G37" s="7"/>
      <c r="H37" s="7"/>
      <c r="I37" s="7"/>
      <c r="J37" s="7"/>
      <c r="K37" s="16">
        <f t="shared" si="33"/>
        <v>0</v>
      </c>
      <c r="L37" s="7"/>
      <c r="M37" s="7"/>
      <c r="N37" s="14"/>
      <c r="O37" s="13">
        <f t="shared" si="34"/>
        <v>0</v>
      </c>
      <c r="P37" s="14"/>
      <c r="Q37" s="7">
        <f t="shared" si="35"/>
        <v>0</v>
      </c>
      <c r="R37" s="8"/>
      <c r="S37" s="8"/>
      <c r="T37" s="7"/>
      <c r="U37" s="7"/>
      <c r="V37" s="14"/>
      <c r="W37" s="7">
        <f t="shared" si="36"/>
        <v>0</v>
      </c>
      <c r="X37" s="14"/>
      <c r="Y37" s="7">
        <f t="shared" si="37"/>
        <v>0</v>
      </c>
      <c r="Z37" s="9"/>
      <c r="AA37" s="9"/>
      <c r="AB37" s="7"/>
      <c r="AC37" s="7"/>
      <c r="AD37" s="14"/>
      <c r="AE37" s="7">
        <f t="shared" si="38"/>
        <v>0</v>
      </c>
      <c r="AF37" s="14"/>
      <c r="AG37" s="7">
        <f t="shared" si="39"/>
        <v>0</v>
      </c>
      <c r="AH37" s="9"/>
      <c r="AI37" s="9"/>
      <c r="AJ37" s="7"/>
      <c r="AK37" s="7"/>
      <c r="AL37" s="14"/>
      <c r="AM37" s="7">
        <f t="shared" si="40"/>
        <v>0</v>
      </c>
      <c r="AN37" s="14"/>
      <c r="AO37" s="7">
        <f t="shared" si="41"/>
        <v>0</v>
      </c>
      <c r="AP37" s="9"/>
      <c r="AQ37" s="9"/>
      <c r="AR37" s="7"/>
      <c r="AS37" s="7"/>
      <c r="AT37" s="14"/>
      <c r="AU37" s="7">
        <f t="shared" si="42"/>
        <v>0</v>
      </c>
      <c r="AV37" s="14"/>
      <c r="AW37" s="7">
        <f t="shared" si="43"/>
        <v>0</v>
      </c>
      <c r="AX37" s="9"/>
      <c r="AY37" s="9"/>
      <c r="AZ37" s="7"/>
      <c r="BA37" s="7"/>
      <c r="BB37" s="14"/>
      <c r="BC37" s="7">
        <f t="shared" si="44"/>
        <v>0</v>
      </c>
      <c r="BD37" s="14"/>
      <c r="BE37" s="7">
        <f t="shared" si="45"/>
        <v>0</v>
      </c>
      <c r="BF37" s="9"/>
      <c r="BG37" s="9"/>
      <c r="BH37" s="7"/>
      <c r="BI37" s="7"/>
      <c r="BJ37" s="14"/>
      <c r="BK37" s="7">
        <f t="shared" si="46"/>
        <v>0</v>
      </c>
      <c r="BL37" s="14"/>
      <c r="BM37" s="7">
        <f t="shared" si="47"/>
        <v>0</v>
      </c>
      <c r="BN37" s="9"/>
      <c r="BO37" s="9"/>
      <c r="BP37" s="7"/>
      <c r="BQ37" s="7"/>
      <c r="BR37" s="14"/>
      <c r="BS37" s="7">
        <f t="shared" si="48"/>
        <v>0</v>
      </c>
      <c r="BT37" s="14"/>
      <c r="BU37" s="7">
        <f t="shared" si="49"/>
        <v>0</v>
      </c>
      <c r="BV37" s="9"/>
      <c r="BW37" s="9"/>
      <c r="BX37" s="7"/>
      <c r="BY37" s="7"/>
      <c r="BZ37" s="10"/>
      <c r="CA37" s="7">
        <f t="shared" si="50"/>
        <v>0</v>
      </c>
      <c r="CB37" s="14"/>
      <c r="CC37" s="7">
        <f t="shared" si="51"/>
        <v>0</v>
      </c>
      <c r="CD37" s="9"/>
      <c r="CE37" s="9"/>
      <c r="CF37" s="7">
        <v>7000</v>
      </c>
      <c r="CG37" s="7">
        <v>9333.3333333333339</v>
      </c>
      <c r="CH37" s="14">
        <v>0.5</v>
      </c>
      <c r="CI37" s="7">
        <f t="shared" si="52"/>
        <v>3500</v>
      </c>
      <c r="CJ37" s="14">
        <v>0.5</v>
      </c>
      <c r="CK37" s="13">
        <f t="shared" si="53"/>
        <v>4666.666666666667</v>
      </c>
      <c r="CL37" s="9"/>
      <c r="CM37" s="9"/>
      <c r="CN37" s="7">
        <v>7000</v>
      </c>
      <c r="CO37" s="7">
        <v>9333.3333333333339</v>
      </c>
      <c r="CP37" s="14">
        <v>0.5</v>
      </c>
      <c r="CQ37" s="13">
        <f t="shared" si="54"/>
        <v>3500</v>
      </c>
      <c r="CR37" s="14">
        <v>0.5</v>
      </c>
      <c r="CS37" s="13">
        <f t="shared" si="55"/>
        <v>4666.666666666667</v>
      </c>
      <c r="CT37" s="9"/>
      <c r="CU37" s="9"/>
      <c r="CV37" s="7">
        <v>7000</v>
      </c>
      <c r="CW37" s="7">
        <v>9333.3333333333339</v>
      </c>
      <c r="CX37" s="14">
        <v>0.5</v>
      </c>
      <c r="CY37" s="13">
        <f t="shared" si="56"/>
        <v>3500</v>
      </c>
      <c r="CZ37" s="14">
        <v>0.5</v>
      </c>
      <c r="DA37" s="7">
        <f t="shared" si="57"/>
        <v>4666.666666666667</v>
      </c>
      <c r="DB37" s="9"/>
      <c r="DC37" s="9"/>
      <c r="DD37" s="7">
        <f t="shared" si="25"/>
        <v>21000</v>
      </c>
      <c r="DE37" s="7">
        <f t="shared" si="58"/>
        <v>10500</v>
      </c>
      <c r="DF37" s="10">
        <f t="shared" si="59"/>
        <v>0.5</v>
      </c>
      <c r="DG37" s="7">
        <f t="shared" si="60"/>
        <v>28000</v>
      </c>
      <c r="DH37" s="7">
        <f t="shared" si="61"/>
        <v>14000</v>
      </c>
      <c r="DI37" s="14">
        <f t="shared" si="62"/>
        <v>0.5</v>
      </c>
      <c r="DJ37" s="11">
        <f t="shared" si="63"/>
        <v>0</v>
      </c>
      <c r="DK37" s="11">
        <f t="shared" si="64"/>
        <v>0</v>
      </c>
      <c r="DL37" s="29" t="s">
        <v>166</v>
      </c>
      <c r="DM37" s="7">
        <v>224000</v>
      </c>
      <c r="DN37" s="7"/>
      <c r="DO37" s="7"/>
      <c r="DP37" s="12">
        <f t="shared" si="32"/>
        <v>9.375E-2</v>
      </c>
      <c r="DQ37" s="15"/>
    </row>
    <row r="38" spans="1:121" x14ac:dyDescent="0.3">
      <c r="A38" s="1" t="s">
        <v>157</v>
      </c>
      <c r="B38" s="1" t="s">
        <v>161</v>
      </c>
      <c r="C38" s="7"/>
      <c r="D38" s="7"/>
      <c r="E38" s="7"/>
      <c r="F38" s="7"/>
      <c r="G38" s="7"/>
      <c r="H38" s="7"/>
      <c r="I38" s="7"/>
      <c r="J38" s="7"/>
      <c r="K38" s="16">
        <f t="shared" si="33"/>
        <v>0</v>
      </c>
      <c r="L38" s="7"/>
      <c r="M38" s="7"/>
      <c r="N38" s="14"/>
      <c r="O38" s="13">
        <f t="shared" si="34"/>
        <v>0</v>
      </c>
      <c r="P38" s="14"/>
      <c r="Q38" s="7">
        <f t="shared" si="35"/>
        <v>0</v>
      </c>
      <c r="R38" s="8"/>
      <c r="S38" s="8"/>
      <c r="T38" s="7"/>
      <c r="U38" s="7"/>
      <c r="V38" s="14"/>
      <c r="W38" s="7">
        <f t="shared" si="36"/>
        <v>0</v>
      </c>
      <c r="X38" s="14"/>
      <c r="Y38" s="7">
        <f t="shared" si="37"/>
        <v>0</v>
      </c>
      <c r="Z38" s="9"/>
      <c r="AA38" s="9"/>
      <c r="AB38" s="7"/>
      <c r="AC38" s="7"/>
      <c r="AD38" s="14"/>
      <c r="AE38" s="7">
        <f t="shared" si="38"/>
        <v>0</v>
      </c>
      <c r="AF38" s="14"/>
      <c r="AG38" s="7">
        <f t="shared" si="39"/>
        <v>0</v>
      </c>
      <c r="AH38" s="9"/>
      <c r="AI38" s="9"/>
      <c r="AJ38" s="7"/>
      <c r="AK38" s="7"/>
      <c r="AL38" s="14"/>
      <c r="AM38" s="7">
        <f t="shared" si="40"/>
        <v>0</v>
      </c>
      <c r="AN38" s="14"/>
      <c r="AO38" s="7">
        <f t="shared" si="41"/>
        <v>0</v>
      </c>
      <c r="AP38" s="9"/>
      <c r="AQ38" s="9"/>
      <c r="AR38" s="7"/>
      <c r="AS38" s="7"/>
      <c r="AT38" s="14"/>
      <c r="AU38" s="7">
        <f t="shared" si="42"/>
        <v>0</v>
      </c>
      <c r="AV38" s="14"/>
      <c r="AW38" s="7">
        <f t="shared" si="43"/>
        <v>0</v>
      </c>
      <c r="AX38" s="9"/>
      <c r="AY38" s="9"/>
      <c r="AZ38" s="7"/>
      <c r="BA38" s="7"/>
      <c r="BB38" s="14"/>
      <c r="BC38" s="7">
        <f t="shared" si="44"/>
        <v>0</v>
      </c>
      <c r="BD38" s="14"/>
      <c r="BE38" s="7">
        <f t="shared" si="45"/>
        <v>0</v>
      </c>
      <c r="BF38" s="9"/>
      <c r="BG38" s="9"/>
      <c r="BH38" s="7"/>
      <c r="BI38" s="7"/>
      <c r="BJ38" s="14"/>
      <c r="BK38" s="7">
        <f t="shared" si="46"/>
        <v>0</v>
      </c>
      <c r="BL38" s="14"/>
      <c r="BM38" s="7">
        <f t="shared" si="47"/>
        <v>0</v>
      </c>
      <c r="BN38" s="9"/>
      <c r="BO38" s="9"/>
      <c r="BP38" s="7"/>
      <c r="BQ38" s="7"/>
      <c r="BR38" s="14"/>
      <c r="BS38" s="7">
        <f t="shared" si="48"/>
        <v>0</v>
      </c>
      <c r="BT38" s="14"/>
      <c r="BU38" s="7">
        <f t="shared" si="49"/>
        <v>0</v>
      </c>
      <c r="BV38" s="9"/>
      <c r="BW38" s="9"/>
      <c r="BX38" s="7"/>
      <c r="BY38" s="7"/>
      <c r="BZ38" s="10"/>
      <c r="CA38" s="7">
        <f t="shared" si="50"/>
        <v>0</v>
      </c>
      <c r="CB38" s="14"/>
      <c r="CC38" s="7">
        <f t="shared" si="51"/>
        <v>0</v>
      </c>
      <c r="CD38" s="9"/>
      <c r="CE38" s="9"/>
      <c r="CF38" s="7">
        <v>0</v>
      </c>
      <c r="CG38" s="7">
        <v>0</v>
      </c>
      <c r="CH38" s="14">
        <v>0.5</v>
      </c>
      <c r="CI38" s="7">
        <f t="shared" si="52"/>
        <v>0</v>
      </c>
      <c r="CJ38" s="14">
        <v>0.5</v>
      </c>
      <c r="CK38" s="13">
        <f t="shared" si="53"/>
        <v>0</v>
      </c>
      <c r="CL38" s="9"/>
      <c r="CM38" s="9"/>
      <c r="CN38" s="7">
        <v>0</v>
      </c>
      <c r="CO38" s="7">
        <v>0</v>
      </c>
      <c r="CP38" s="14">
        <v>0.5</v>
      </c>
      <c r="CQ38" s="13">
        <f t="shared" si="54"/>
        <v>0</v>
      </c>
      <c r="CR38" s="14">
        <v>0.5</v>
      </c>
      <c r="CS38" s="13">
        <f t="shared" si="55"/>
        <v>0</v>
      </c>
      <c r="CT38" s="9"/>
      <c r="CU38" s="9"/>
      <c r="CV38" s="7">
        <v>0</v>
      </c>
      <c r="CW38" s="7">
        <v>0</v>
      </c>
      <c r="CX38" s="14">
        <v>0.5</v>
      </c>
      <c r="CY38" s="13">
        <f t="shared" si="56"/>
        <v>0</v>
      </c>
      <c r="CZ38" s="14">
        <v>0.5</v>
      </c>
      <c r="DA38" s="7">
        <f t="shared" si="57"/>
        <v>0</v>
      </c>
      <c r="DB38" s="9"/>
      <c r="DC38" s="9"/>
      <c r="DD38" s="7">
        <f t="shared" si="25"/>
        <v>0</v>
      </c>
      <c r="DE38" s="7">
        <f t="shared" si="58"/>
        <v>0</v>
      </c>
      <c r="DF38" s="10" t="e">
        <f t="shared" si="59"/>
        <v>#DIV/0!</v>
      </c>
      <c r="DG38" s="7">
        <f t="shared" si="60"/>
        <v>0</v>
      </c>
      <c r="DH38" s="7">
        <f t="shared" si="61"/>
        <v>0</v>
      </c>
      <c r="DI38" s="14" t="e">
        <f t="shared" si="62"/>
        <v>#DIV/0!</v>
      </c>
      <c r="DJ38" s="11">
        <f t="shared" si="63"/>
        <v>0</v>
      </c>
      <c r="DK38" s="11">
        <f t="shared" si="64"/>
        <v>0</v>
      </c>
      <c r="DL38" s="29" t="s">
        <v>166</v>
      </c>
      <c r="DM38" s="7">
        <v>112000</v>
      </c>
      <c r="DN38" s="7"/>
      <c r="DO38" s="7"/>
      <c r="DP38" s="12">
        <f t="shared" si="32"/>
        <v>0</v>
      </c>
      <c r="DQ38" s="15"/>
    </row>
    <row r="39" spans="1:121" ht="28.8" x14ac:dyDescent="0.3">
      <c r="A39" s="1" t="s">
        <v>156</v>
      </c>
      <c r="B39" s="1" t="s">
        <v>168</v>
      </c>
      <c r="C39" s="7"/>
      <c r="D39" s="7"/>
      <c r="E39" s="7"/>
      <c r="F39" s="7"/>
      <c r="G39" s="7"/>
      <c r="H39" s="7"/>
      <c r="I39" s="7"/>
      <c r="J39" s="7"/>
      <c r="K39" s="16">
        <f t="shared" si="33"/>
        <v>0</v>
      </c>
      <c r="L39" s="7"/>
      <c r="M39" s="7"/>
      <c r="N39" s="14"/>
      <c r="O39" s="13">
        <f t="shared" si="34"/>
        <v>0</v>
      </c>
      <c r="P39" s="14"/>
      <c r="Q39" s="7">
        <f t="shared" si="35"/>
        <v>0</v>
      </c>
      <c r="R39" s="8"/>
      <c r="S39" s="8"/>
      <c r="T39" s="7"/>
      <c r="U39" s="7"/>
      <c r="V39" s="14"/>
      <c r="W39" s="7">
        <f t="shared" si="36"/>
        <v>0</v>
      </c>
      <c r="X39" s="14"/>
      <c r="Y39" s="7">
        <f t="shared" si="37"/>
        <v>0</v>
      </c>
      <c r="Z39" s="9"/>
      <c r="AA39" s="9"/>
      <c r="AB39" s="7"/>
      <c r="AC39" s="7"/>
      <c r="AD39" s="14"/>
      <c r="AE39" s="7">
        <f t="shared" si="38"/>
        <v>0</v>
      </c>
      <c r="AF39" s="14"/>
      <c r="AG39" s="7">
        <f t="shared" si="39"/>
        <v>0</v>
      </c>
      <c r="AH39" s="9"/>
      <c r="AI39" s="9"/>
      <c r="AJ39" s="7"/>
      <c r="AK39" s="7"/>
      <c r="AL39" s="14"/>
      <c r="AM39" s="7">
        <f t="shared" si="40"/>
        <v>0</v>
      </c>
      <c r="AN39" s="14"/>
      <c r="AO39" s="7">
        <f t="shared" si="41"/>
        <v>0</v>
      </c>
      <c r="AP39" s="9"/>
      <c r="AQ39" s="9"/>
      <c r="AR39" s="7"/>
      <c r="AS39" s="7"/>
      <c r="AT39" s="14"/>
      <c r="AU39" s="7">
        <f t="shared" si="42"/>
        <v>0</v>
      </c>
      <c r="AV39" s="14"/>
      <c r="AW39" s="7">
        <f t="shared" si="43"/>
        <v>0</v>
      </c>
      <c r="AX39" s="9"/>
      <c r="AY39" s="9"/>
      <c r="AZ39" s="7"/>
      <c r="BA39" s="7"/>
      <c r="BB39" s="14"/>
      <c r="BC39" s="7">
        <f t="shared" si="44"/>
        <v>0</v>
      </c>
      <c r="BD39" s="14"/>
      <c r="BE39" s="7">
        <f t="shared" si="45"/>
        <v>0</v>
      </c>
      <c r="BF39" s="9"/>
      <c r="BG39" s="9"/>
      <c r="BH39" s="7"/>
      <c r="BI39" s="7"/>
      <c r="BJ39" s="14"/>
      <c r="BK39" s="7">
        <f t="shared" si="46"/>
        <v>0</v>
      </c>
      <c r="BL39" s="14"/>
      <c r="BM39" s="7">
        <f t="shared" si="47"/>
        <v>0</v>
      </c>
      <c r="BN39" s="9"/>
      <c r="BO39" s="9"/>
      <c r="BP39" s="7"/>
      <c r="BQ39" s="7"/>
      <c r="BR39" s="14"/>
      <c r="BS39" s="7">
        <f t="shared" si="48"/>
        <v>0</v>
      </c>
      <c r="BT39" s="14"/>
      <c r="BU39" s="7">
        <f t="shared" si="49"/>
        <v>0</v>
      </c>
      <c r="BV39" s="9"/>
      <c r="BW39" s="9"/>
      <c r="BX39" s="7"/>
      <c r="BY39" s="7"/>
      <c r="BZ39" s="10"/>
      <c r="CA39" s="7">
        <f t="shared" si="50"/>
        <v>0</v>
      </c>
      <c r="CB39" s="14"/>
      <c r="CC39" s="7">
        <f t="shared" si="51"/>
        <v>0</v>
      </c>
      <c r="CD39" s="9"/>
      <c r="CE39" s="9"/>
      <c r="CF39" s="7">
        <v>0</v>
      </c>
      <c r="CG39" s="7">
        <v>0</v>
      </c>
      <c r="CH39" s="14">
        <v>0.45</v>
      </c>
      <c r="CI39" s="7">
        <f t="shared" si="52"/>
        <v>0</v>
      </c>
      <c r="CJ39" s="14">
        <v>0.45</v>
      </c>
      <c r="CK39" s="13">
        <f t="shared" si="53"/>
        <v>0</v>
      </c>
      <c r="CL39" s="9"/>
      <c r="CM39" s="9"/>
      <c r="CN39" s="7">
        <v>0</v>
      </c>
      <c r="CO39" s="7">
        <v>0</v>
      </c>
      <c r="CP39" s="14">
        <v>0.45</v>
      </c>
      <c r="CQ39" s="13">
        <f t="shared" si="54"/>
        <v>0</v>
      </c>
      <c r="CR39" s="14">
        <v>0.45</v>
      </c>
      <c r="CS39" s="13">
        <f t="shared" si="55"/>
        <v>0</v>
      </c>
      <c r="CT39" s="9"/>
      <c r="CU39" s="9"/>
      <c r="CV39" s="7">
        <v>0</v>
      </c>
      <c r="CW39" s="7">
        <v>0</v>
      </c>
      <c r="CX39" s="14">
        <v>0.45</v>
      </c>
      <c r="CY39" s="13">
        <f t="shared" si="56"/>
        <v>0</v>
      </c>
      <c r="CZ39" s="14">
        <v>0.45</v>
      </c>
      <c r="DA39" s="7">
        <f t="shared" si="57"/>
        <v>0</v>
      </c>
      <c r="DB39" s="9"/>
      <c r="DC39" s="9"/>
      <c r="DD39" s="7">
        <f t="shared" si="25"/>
        <v>0</v>
      </c>
      <c r="DE39" s="7">
        <f t="shared" si="58"/>
        <v>0</v>
      </c>
      <c r="DF39" s="10" t="e">
        <f t="shared" si="59"/>
        <v>#DIV/0!</v>
      </c>
      <c r="DG39" s="7">
        <f t="shared" si="60"/>
        <v>0</v>
      </c>
      <c r="DH39" s="7">
        <f t="shared" si="61"/>
        <v>0</v>
      </c>
      <c r="DI39" s="14" t="e">
        <f t="shared" si="62"/>
        <v>#DIV/0!</v>
      </c>
      <c r="DJ39" s="11">
        <f t="shared" si="63"/>
        <v>0</v>
      </c>
      <c r="DK39" s="11">
        <f t="shared" si="64"/>
        <v>0</v>
      </c>
      <c r="DL39" s="29" t="s">
        <v>162</v>
      </c>
      <c r="DM39" s="7">
        <v>4480000</v>
      </c>
      <c r="DN39" s="7"/>
      <c r="DO39" s="7"/>
      <c r="DP39" s="12">
        <f t="shared" si="32"/>
        <v>0</v>
      </c>
      <c r="DQ39" s="15"/>
    </row>
    <row r="40" spans="1:121" ht="28.8" x14ac:dyDescent="0.3">
      <c r="A40" s="1" t="s">
        <v>158</v>
      </c>
      <c r="B40" s="1" t="s">
        <v>169</v>
      </c>
      <c r="C40" s="7"/>
      <c r="D40" s="7"/>
      <c r="E40" s="7"/>
      <c r="F40" s="7"/>
      <c r="G40" s="7"/>
      <c r="H40" s="7"/>
      <c r="I40" s="7"/>
      <c r="J40" s="7"/>
      <c r="K40" s="16">
        <f t="shared" si="33"/>
        <v>0</v>
      </c>
      <c r="L40" s="7"/>
      <c r="M40" s="7"/>
      <c r="N40" s="14"/>
      <c r="O40" s="13">
        <f t="shared" si="34"/>
        <v>0</v>
      </c>
      <c r="P40" s="14"/>
      <c r="Q40" s="7">
        <f t="shared" si="35"/>
        <v>0</v>
      </c>
      <c r="R40" s="8"/>
      <c r="S40" s="8"/>
      <c r="T40" s="7"/>
      <c r="U40" s="7"/>
      <c r="V40" s="14"/>
      <c r="W40" s="7">
        <f t="shared" si="36"/>
        <v>0</v>
      </c>
      <c r="X40" s="14"/>
      <c r="Y40" s="7">
        <f t="shared" si="37"/>
        <v>0</v>
      </c>
      <c r="Z40" s="9"/>
      <c r="AA40" s="9"/>
      <c r="AB40" s="7"/>
      <c r="AC40" s="7"/>
      <c r="AD40" s="14"/>
      <c r="AE40" s="7">
        <f t="shared" si="38"/>
        <v>0</v>
      </c>
      <c r="AF40" s="14"/>
      <c r="AG40" s="7">
        <f t="shared" si="39"/>
        <v>0</v>
      </c>
      <c r="AH40" s="9"/>
      <c r="AI40" s="9"/>
      <c r="AJ40" s="7"/>
      <c r="AK40" s="7"/>
      <c r="AL40" s="14"/>
      <c r="AM40" s="7">
        <f t="shared" si="40"/>
        <v>0</v>
      </c>
      <c r="AN40" s="14"/>
      <c r="AO40" s="7">
        <f t="shared" si="41"/>
        <v>0</v>
      </c>
      <c r="AP40" s="9"/>
      <c r="AQ40" s="9"/>
      <c r="AR40" s="7"/>
      <c r="AS40" s="7"/>
      <c r="AT40" s="14"/>
      <c r="AU40" s="7">
        <f t="shared" si="42"/>
        <v>0</v>
      </c>
      <c r="AV40" s="14"/>
      <c r="AW40" s="7">
        <f t="shared" si="43"/>
        <v>0</v>
      </c>
      <c r="AX40" s="9"/>
      <c r="AY40" s="9"/>
      <c r="AZ40" s="7"/>
      <c r="BA40" s="7"/>
      <c r="BB40" s="14"/>
      <c r="BC40" s="7">
        <f t="shared" si="44"/>
        <v>0</v>
      </c>
      <c r="BD40" s="14"/>
      <c r="BE40" s="7">
        <f t="shared" si="45"/>
        <v>0</v>
      </c>
      <c r="BF40" s="9"/>
      <c r="BG40" s="9"/>
      <c r="BH40" s="7"/>
      <c r="BI40" s="7"/>
      <c r="BJ40" s="14"/>
      <c r="BK40" s="7">
        <f t="shared" si="46"/>
        <v>0</v>
      </c>
      <c r="BL40" s="14"/>
      <c r="BM40" s="7">
        <f t="shared" si="47"/>
        <v>0</v>
      </c>
      <c r="BN40" s="9"/>
      <c r="BO40" s="9"/>
      <c r="BP40" s="7"/>
      <c r="BQ40" s="7"/>
      <c r="BR40" s="14"/>
      <c r="BS40" s="7">
        <f t="shared" si="48"/>
        <v>0</v>
      </c>
      <c r="BT40" s="14"/>
      <c r="BU40" s="7">
        <f t="shared" si="49"/>
        <v>0</v>
      </c>
      <c r="BV40" s="9"/>
      <c r="BW40" s="9"/>
      <c r="BX40" s="7"/>
      <c r="BY40" s="7"/>
      <c r="BZ40" s="10"/>
      <c r="CA40" s="7">
        <f t="shared" si="50"/>
        <v>0</v>
      </c>
      <c r="CB40" s="14"/>
      <c r="CC40" s="7">
        <f t="shared" si="51"/>
        <v>0</v>
      </c>
      <c r="CD40" s="9"/>
      <c r="CE40" s="9"/>
      <c r="CF40" s="7">
        <v>0</v>
      </c>
      <c r="CG40" s="7">
        <v>0</v>
      </c>
      <c r="CH40" s="14">
        <v>0.45</v>
      </c>
      <c r="CI40" s="7">
        <f t="shared" si="52"/>
        <v>0</v>
      </c>
      <c r="CJ40" s="14">
        <v>0.45</v>
      </c>
      <c r="CK40" s="13">
        <f t="shared" si="53"/>
        <v>0</v>
      </c>
      <c r="CL40" s="9"/>
      <c r="CM40" s="9"/>
      <c r="CN40" s="7">
        <v>0</v>
      </c>
      <c r="CO40" s="7">
        <v>0</v>
      </c>
      <c r="CP40" s="14">
        <v>0.45</v>
      </c>
      <c r="CQ40" s="13">
        <f t="shared" si="54"/>
        <v>0</v>
      </c>
      <c r="CR40" s="14">
        <v>0.45</v>
      </c>
      <c r="CS40" s="13">
        <f t="shared" si="55"/>
        <v>0</v>
      </c>
      <c r="CT40" s="9"/>
      <c r="CU40" s="9"/>
      <c r="CV40" s="7">
        <v>0</v>
      </c>
      <c r="CW40" s="7">
        <v>0</v>
      </c>
      <c r="CX40" s="14">
        <v>0.45</v>
      </c>
      <c r="CY40" s="13">
        <f t="shared" si="56"/>
        <v>0</v>
      </c>
      <c r="CZ40" s="14">
        <v>0.45</v>
      </c>
      <c r="DA40" s="7">
        <f t="shared" si="57"/>
        <v>0</v>
      </c>
      <c r="DB40" s="9"/>
      <c r="DC40" s="9"/>
      <c r="DD40" s="7">
        <f t="shared" si="25"/>
        <v>0</v>
      </c>
      <c r="DE40" s="7">
        <f t="shared" si="58"/>
        <v>0</v>
      </c>
      <c r="DF40" s="10" t="e">
        <f t="shared" si="59"/>
        <v>#DIV/0!</v>
      </c>
      <c r="DG40" s="7">
        <f t="shared" si="60"/>
        <v>0</v>
      </c>
      <c r="DH40" s="7">
        <f t="shared" si="61"/>
        <v>0</v>
      </c>
      <c r="DI40" s="14" t="e">
        <f t="shared" si="62"/>
        <v>#DIV/0!</v>
      </c>
      <c r="DJ40" s="11">
        <f t="shared" si="63"/>
        <v>0</v>
      </c>
      <c r="DK40" s="11">
        <f t="shared" si="64"/>
        <v>0</v>
      </c>
      <c r="DL40" s="29" t="s">
        <v>162</v>
      </c>
      <c r="DM40" s="7">
        <v>4480000</v>
      </c>
      <c r="DN40" s="7"/>
      <c r="DO40" s="7"/>
      <c r="DP40" s="12">
        <f t="shared" si="32"/>
        <v>0</v>
      </c>
      <c r="DQ40" s="15"/>
    </row>
    <row r="41" spans="1:121" x14ac:dyDescent="0.3">
      <c r="A41" s="1" t="s">
        <v>158</v>
      </c>
      <c r="B41" s="1" t="s">
        <v>170</v>
      </c>
      <c r="C41" s="7"/>
      <c r="D41" s="7"/>
      <c r="E41" s="7"/>
      <c r="F41" s="7"/>
      <c r="G41" s="7"/>
      <c r="H41" s="7"/>
      <c r="I41" s="7"/>
      <c r="J41" s="7"/>
      <c r="K41" s="16">
        <f t="shared" si="33"/>
        <v>0</v>
      </c>
      <c r="L41" s="7"/>
      <c r="M41" s="7"/>
      <c r="N41" s="14"/>
      <c r="O41" s="13">
        <f t="shared" si="34"/>
        <v>0</v>
      </c>
      <c r="P41" s="14"/>
      <c r="Q41" s="7">
        <f t="shared" si="35"/>
        <v>0</v>
      </c>
      <c r="R41" s="8"/>
      <c r="S41" s="8"/>
      <c r="T41" s="7"/>
      <c r="U41" s="7"/>
      <c r="V41" s="14"/>
      <c r="W41" s="7">
        <f t="shared" si="36"/>
        <v>0</v>
      </c>
      <c r="X41" s="14"/>
      <c r="Y41" s="7">
        <f t="shared" si="37"/>
        <v>0</v>
      </c>
      <c r="Z41" s="9"/>
      <c r="AA41" s="9"/>
      <c r="AB41" s="7"/>
      <c r="AC41" s="7"/>
      <c r="AD41" s="14"/>
      <c r="AE41" s="7">
        <f t="shared" si="38"/>
        <v>0</v>
      </c>
      <c r="AF41" s="14"/>
      <c r="AG41" s="7">
        <f t="shared" si="39"/>
        <v>0</v>
      </c>
      <c r="AH41" s="9"/>
      <c r="AI41" s="9"/>
      <c r="AJ41" s="7"/>
      <c r="AK41" s="7"/>
      <c r="AL41" s="14"/>
      <c r="AM41" s="7">
        <f t="shared" si="40"/>
        <v>0</v>
      </c>
      <c r="AN41" s="14"/>
      <c r="AO41" s="7">
        <f t="shared" si="41"/>
        <v>0</v>
      </c>
      <c r="AP41" s="9"/>
      <c r="AQ41" s="9"/>
      <c r="AR41" s="7"/>
      <c r="AS41" s="7"/>
      <c r="AT41" s="14"/>
      <c r="AU41" s="7">
        <f t="shared" si="42"/>
        <v>0</v>
      </c>
      <c r="AV41" s="14"/>
      <c r="AW41" s="7">
        <f t="shared" si="43"/>
        <v>0</v>
      </c>
      <c r="AX41" s="9"/>
      <c r="AY41" s="9"/>
      <c r="AZ41" s="7"/>
      <c r="BA41" s="7"/>
      <c r="BB41" s="14"/>
      <c r="BC41" s="7">
        <f t="shared" si="44"/>
        <v>0</v>
      </c>
      <c r="BD41" s="14"/>
      <c r="BE41" s="7">
        <f t="shared" si="45"/>
        <v>0</v>
      </c>
      <c r="BF41" s="9"/>
      <c r="BG41" s="9"/>
      <c r="BH41" s="7"/>
      <c r="BI41" s="7"/>
      <c r="BJ41" s="14"/>
      <c r="BK41" s="7">
        <f t="shared" si="46"/>
        <v>0</v>
      </c>
      <c r="BL41" s="14"/>
      <c r="BM41" s="7">
        <f t="shared" si="47"/>
        <v>0</v>
      </c>
      <c r="BN41" s="9"/>
      <c r="BO41" s="9"/>
      <c r="BP41" s="7"/>
      <c r="BQ41" s="7"/>
      <c r="BR41" s="14"/>
      <c r="BS41" s="7">
        <f t="shared" si="48"/>
        <v>0</v>
      </c>
      <c r="BT41" s="14"/>
      <c r="BU41" s="7">
        <f t="shared" si="49"/>
        <v>0</v>
      </c>
      <c r="BV41" s="9"/>
      <c r="BW41" s="9"/>
      <c r="BX41" s="7"/>
      <c r="BY41" s="7"/>
      <c r="BZ41" s="10"/>
      <c r="CA41" s="7">
        <f t="shared" si="50"/>
        <v>0</v>
      </c>
      <c r="CB41" s="14"/>
      <c r="CC41" s="7">
        <f t="shared" si="51"/>
        <v>0</v>
      </c>
      <c r="CD41" s="9"/>
      <c r="CE41" s="9"/>
      <c r="CF41" s="7">
        <v>0</v>
      </c>
      <c r="CG41" s="7">
        <v>0</v>
      </c>
      <c r="CH41" s="14">
        <v>0.45</v>
      </c>
      <c r="CI41" s="7">
        <f t="shared" si="52"/>
        <v>0</v>
      </c>
      <c r="CJ41" s="14">
        <v>0.45</v>
      </c>
      <c r="CK41" s="13">
        <f t="shared" si="53"/>
        <v>0</v>
      </c>
      <c r="CL41" s="9"/>
      <c r="CM41" s="9"/>
      <c r="CN41" s="7">
        <v>0</v>
      </c>
      <c r="CO41" s="7">
        <v>0</v>
      </c>
      <c r="CP41" s="14">
        <v>0.45</v>
      </c>
      <c r="CQ41" s="13">
        <f t="shared" si="54"/>
        <v>0</v>
      </c>
      <c r="CR41" s="14">
        <v>0.45</v>
      </c>
      <c r="CS41" s="13">
        <f t="shared" si="55"/>
        <v>0</v>
      </c>
      <c r="CT41" s="9"/>
      <c r="CU41" s="9"/>
      <c r="CV41" s="7">
        <v>0</v>
      </c>
      <c r="CW41" s="7">
        <v>0</v>
      </c>
      <c r="CX41" s="14">
        <v>0.45</v>
      </c>
      <c r="CY41" s="13">
        <f t="shared" si="56"/>
        <v>0</v>
      </c>
      <c r="CZ41" s="14">
        <v>0.45</v>
      </c>
      <c r="DA41" s="7">
        <f t="shared" si="57"/>
        <v>0</v>
      </c>
      <c r="DB41" s="9"/>
      <c r="DC41" s="9"/>
      <c r="DD41" s="7">
        <f t="shared" si="25"/>
        <v>0</v>
      </c>
      <c r="DE41" s="7">
        <f t="shared" si="58"/>
        <v>0</v>
      </c>
      <c r="DF41" s="10" t="e">
        <f t="shared" si="59"/>
        <v>#DIV/0!</v>
      </c>
      <c r="DG41" s="7">
        <f t="shared" si="60"/>
        <v>0</v>
      </c>
      <c r="DH41" s="7">
        <f t="shared" si="61"/>
        <v>0</v>
      </c>
      <c r="DI41" s="14" t="e">
        <f t="shared" si="62"/>
        <v>#DIV/0!</v>
      </c>
      <c r="DJ41" s="11">
        <f t="shared" si="63"/>
        <v>0</v>
      </c>
      <c r="DK41" s="11">
        <f t="shared" si="64"/>
        <v>0</v>
      </c>
      <c r="DL41" s="29">
        <v>0</v>
      </c>
      <c r="DM41" s="7">
        <v>22400</v>
      </c>
      <c r="DN41" s="7"/>
      <c r="DO41" s="7"/>
      <c r="DP41" s="12">
        <f t="shared" si="32"/>
        <v>0</v>
      </c>
      <c r="DQ41" s="15"/>
    </row>
    <row r="42" spans="1:121" x14ac:dyDescent="0.3">
      <c r="A42" s="1"/>
      <c r="C42" s="7"/>
      <c r="D42" s="7"/>
      <c r="E42" s="7"/>
      <c r="F42" s="7"/>
      <c r="G42" s="7"/>
      <c r="H42" s="7"/>
      <c r="I42" s="7"/>
      <c r="J42" s="7"/>
      <c r="K42" s="16">
        <f t="shared" si="33"/>
        <v>0</v>
      </c>
      <c r="L42" s="7"/>
      <c r="M42" s="7"/>
      <c r="N42" s="14"/>
      <c r="O42" s="13">
        <f t="shared" si="34"/>
        <v>0</v>
      </c>
      <c r="P42" s="14"/>
      <c r="Q42" s="7">
        <f t="shared" si="35"/>
        <v>0</v>
      </c>
      <c r="R42" s="8"/>
      <c r="S42" s="8"/>
      <c r="T42" s="7"/>
      <c r="U42" s="7"/>
      <c r="V42" s="14"/>
      <c r="W42" s="7">
        <f t="shared" si="36"/>
        <v>0</v>
      </c>
      <c r="X42" s="14"/>
      <c r="Y42" s="7">
        <f t="shared" si="37"/>
        <v>0</v>
      </c>
      <c r="Z42" s="9"/>
      <c r="AA42" s="9"/>
      <c r="AB42" s="7"/>
      <c r="AC42" s="7"/>
      <c r="AD42" s="14"/>
      <c r="AE42" s="7">
        <f t="shared" si="38"/>
        <v>0</v>
      </c>
      <c r="AF42" s="14"/>
      <c r="AG42" s="7">
        <f t="shared" si="39"/>
        <v>0</v>
      </c>
      <c r="AH42" s="9"/>
      <c r="AI42" s="9"/>
      <c r="AJ42" s="7"/>
      <c r="AK42" s="7"/>
      <c r="AL42" s="14"/>
      <c r="AM42" s="7">
        <f t="shared" si="40"/>
        <v>0</v>
      </c>
      <c r="AN42" s="14"/>
      <c r="AO42" s="7">
        <f t="shared" si="41"/>
        <v>0</v>
      </c>
      <c r="AP42" s="9"/>
      <c r="AQ42" s="9"/>
      <c r="AR42" s="7"/>
      <c r="AS42" s="7"/>
      <c r="AT42" s="14"/>
      <c r="AU42" s="7">
        <f t="shared" si="42"/>
        <v>0</v>
      </c>
      <c r="AV42" s="14"/>
      <c r="AW42" s="7">
        <f t="shared" si="43"/>
        <v>0</v>
      </c>
      <c r="AX42" s="9"/>
      <c r="AY42" s="9"/>
      <c r="AZ42" s="7"/>
      <c r="BA42" s="7"/>
      <c r="BB42" s="14"/>
      <c r="BC42" s="7">
        <f t="shared" si="44"/>
        <v>0</v>
      </c>
      <c r="BD42" s="14"/>
      <c r="BE42" s="7">
        <f t="shared" si="45"/>
        <v>0</v>
      </c>
      <c r="BF42" s="9"/>
      <c r="BG42" s="9"/>
      <c r="BH42" s="7"/>
      <c r="BI42" s="7"/>
      <c r="BJ42" s="14"/>
      <c r="BK42" s="7">
        <f t="shared" si="46"/>
        <v>0</v>
      </c>
      <c r="BL42" s="14"/>
      <c r="BM42" s="7">
        <f t="shared" si="47"/>
        <v>0</v>
      </c>
      <c r="BN42" s="9"/>
      <c r="BO42" s="9"/>
      <c r="BP42" s="7"/>
      <c r="BQ42" s="7"/>
      <c r="BR42" s="14"/>
      <c r="BS42" s="7">
        <f t="shared" si="48"/>
        <v>0</v>
      </c>
      <c r="BT42" s="14"/>
      <c r="BU42" s="7">
        <f t="shared" si="49"/>
        <v>0</v>
      </c>
      <c r="BV42" s="9"/>
      <c r="BW42" s="9"/>
      <c r="BX42" s="7"/>
      <c r="BY42" s="7"/>
      <c r="BZ42" s="10"/>
      <c r="CA42" s="7">
        <f t="shared" si="50"/>
        <v>0</v>
      </c>
      <c r="CB42" s="14"/>
      <c r="CC42" s="7">
        <f t="shared" si="51"/>
        <v>0</v>
      </c>
      <c r="CD42" s="9"/>
      <c r="CE42" s="9"/>
      <c r="CF42" s="7">
        <v>0</v>
      </c>
      <c r="CG42" s="7">
        <v>0.45</v>
      </c>
      <c r="CH42" s="14"/>
      <c r="CI42" s="7">
        <f t="shared" si="52"/>
        <v>0</v>
      </c>
      <c r="CJ42" s="14"/>
      <c r="CK42" s="13">
        <f t="shared" si="53"/>
        <v>0</v>
      </c>
      <c r="CL42" s="9"/>
      <c r="CM42" s="9"/>
      <c r="CN42" s="7"/>
      <c r="CO42" s="7"/>
      <c r="CP42" s="14"/>
      <c r="CQ42" s="13">
        <f t="shared" si="54"/>
        <v>0</v>
      </c>
      <c r="CR42" s="14">
        <v>0</v>
      </c>
      <c r="CS42" s="13">
        <f t="shared" si="55"/>
        <v>0</v>
      </c>
      <c r="CT42" s="9"/>
      <c r="CU42" s="9"/>
      <c r="CV42" s="7"/>
      <c r="CW42" s="7"/>
      <c r="CX42" s="14"/>
      <c r="CY42" s="13">
        <f t="shared" si="56"/>
        <v>0</v>
      </c>
      <c r="CZ42" s="14"/>
      <c r="DA42" s="7">
        <f t="shared" si="57"/>
        <v>0</v>
      </c>
      <c r="DB42" s="9"/>
      <c r="DC42" s="9"/>
      <c r="DD42" s="7">
        <f t="shared" si="25"/>
        <v>0</v>
      </c>
      <c r="DE42" s="7">
        <f t="shared" si="58"/>
        <v>0</v>
      </c>
      <c r="DF42" s="10" t="e">
        <f t="shared" si="59"/>
        <v>#DIV/0!</v>
      </c>
      <c r="DG42" s="7">
        <f t="shared" si="60"/>
        <v>0.45</v>
      </c>
      <c r="DH42" s="7">
        <f t="shared" si="61"/>
        <v>0</v>
      </c>
      <c r="DI42" s="14">
        <f t="shared" si="62"/>
        <v>0</v>
      </c>
      <c r="DJ42" s="11">
        <f t="shared" si="63"/>
        <v>0</v>
      </c>
      <c r="DK42" s="11">
        <f t="shared" si="64"/>
        <v>0</v>
      </c>
      <c r="DL42" s="29"/>
      <c r="DM42" s="7"/>
      <c r="DN42" s="7"/>
      <c r="DO42" s="7"/>
      <c r="DP42" s="12" t="e">
        <f t="shared" si="32"/>
        <v>#DIV/0!</v>
      </c>
      <c r="DQ42" s="15"/>
    </row>
    <row r="43" spans="1:121" x14ac:dyDescent="0.3">
      <c r="A43" s="1"/>
      <c r="C43" s="7"/>
      <c r="D43" s="7"/>
      <c r="E43" s="7"/>
      <c r="F43" s="7"/>
      <c r="G43" s="7"/>
      <c r="H43" s="7"/>
      <c r="I43" s="7"/>
      <c r="J43" s="7"/>
      <c r="K43" s="16">
        <f t="shared" si="33"/>
        <v>0</v>
      </c>
      <c r="L43" s="7"/>
      <c r="M43" s="7"/>
      <c r="N43" s="14"/>
      <c r="O43" s="13">
        <f t="shared" si="34"/>
        <v>0</v>
      </c>
      <c r="P43" s="14"/>
      <c r="Q43" s="7">
        <f t="shared" si="35"/>
        <v>0</v>
      </c>
      <c r="R43" s="8"/>
      <c r="S43" s="8"/>
      <c r="T43" s="7"/>
      <c r="U43" s="7"/>
      <c r="V43" s="14"/>
      <c r="W43" s="7">
        <f t="shared" si="36"/>
        <v>0</v>
      </c>
      <c r="X43" s="14"/>
      <c r="Y43" s="7">
        <f t="shared" si="37"/>
        <v>0</v>
      </c>
      <c r="Z43" s="9"/>
      <c r="AA43" s="9"/>
      <c r="AB43" s="7"/>
      <c r="AC43" s="7"/>
      <c r="AD43" s="14"/>
      <c r="AE43" s="7">
        <f t="shared" si="38"/>
        <v>0</v>
      </c>
      <c r="AF43" s="14"/>
      <c r="AG43" s="7">
        <f t="shared" si="39"/>
        <v>0</v>
      </c>
      <c r="AH43" s="9"/>
      <c r="AI43" s="9"/>
      <c r="AJ43" s="7"/>
      <c r="AK43" s="7"/>
      <c r="AL43" s="14"/>
      <c r="AM43" s="7">
        <f t="shared" si="40"/>
        <v>0</v>
      </c>
      <c r="AN43" s="14"/>
      <c r="AO43" s="7">
        <f t="shared" si="41"/>
        <v>0</v>
      </c>
      <c r="AP43" s="9"/>
      <c r="AQ43" s="9"/>
      <c r="AR43" s="7"/>
      <c r="AS43" s="7"/>
      <c r="AT43" s="14"/>
      <c r="AU43" s="7">
        <f t="shared" si="42"/>
        <v>0</v>
      </c>
      <c r="AV43" s="14"/>
      <c r="AW43" s="7">
        <f t="shared" si="43"/>
        <v>0</v>
      </c>
      <c r="AX43" s="9"/>
      <c r="AY43" s="9"/>
      <c r="AZ43" s="7"/>
      <c r="BA43" s="7"/>
      <c r="BB43" s="14"/>
      <c r="BC43" s="7">
        <f t="shared" si="44"/>
        <v>0</v>
      </c>
      <c r="BD43" s="14"/>
      <c r="BE43" s="7">
        <f t="shared" si="45"/>
        <v>0</v>
      </c>
      <c r="BF43" s="9"/>
      <c r="BG43" s="9"/>
      <c r="BH43" s="7"/>
      <c r="BI43" s="7"/>
      <c r="BJ43" s="14"/>
      <c r="BK43" s="7">
        <f t="shared" si="46"/>
        <v>0</v>
      </c>
      <c r="BL43" s="14"/>
      <c r="BM43" s="7">
        <f t="shared" si="47"/>
        <v>0</v>
      </c>
      <c r="BN43" s="9"/>
      <c r="BO43" s="9"/>
      <c r="BP43" s="7"/>
      <c r="BQ43" s="7"/>
      <c r="BR43" s="14"/>
      <c r="BS43" s="7">
        <f t="shared" si="48"/>
        <v>0</v>
      </c>
      <c r="BT43" s="14"/>
      <c r="BU43" s="7">
        <f t="shared" si="49"/>
        <v>0</v>
      </c>
      <c r="BV43" s="9"/>
      <c r="BW43" s="9"/>
      <c r="BX43" s="7"/>
      <c r="BY43" s="7"/>
      <c r="BZ43" s="10"/>
      <c r="CA43" s="7">
        <f t="shared" si="50"/>
        <v>0</v>
      </c>
      <c r="CB43" s="14"/>
      <c r="CC43" s="7">
        <f t="shared" si="51"/>
        <v>0</v>
      </c>
      <c r="CD43" s="9"/>
      <c r="CE43" s="9"/>
      <c r="CF43" s="7">
        <v>0</v>
      </c>
      <c r="CG43" s="7">
        <v>0.45</v>
      </c>
      <c r="CH43" s="14"/>
      <c r="CI43" s="7">
        <f t="shared" si="52"/>
        <v>0</v>
      </c>
      <c r="CJ43" s="14"/>
      <c r="CK43" s="13">
        <f t="shared" si="53"/>
        <v>0</v>
      </c>
      <c r="CL43" s="9"/>
      <c r="CM43" s="9"/>
      <c r="CN43" s="7"/>
      <c r="CO43" s="7"/>
      <c r="CP43" s="14"/>
      <c r="CQ43" s="13">
        <f t="shared" si="54"/>
        <v>0</v>
      </c>
      <c r="CR43" s="14"/>
      <c r="CS43" s="13">
        <f t="shared" si="55"/>
        <v>0</v>
      </c>
      <c r="CT43" s="9"/>
      <c r="CU43" s="9"/>
      <c r="CV43" s="7"/>
      <c r="CW43" s="7"/>
      <c r="CX43" s="14"/>
      <c r="CY43" s="13">
        <f t="shared" si="56"/>
        <v>0</v>
      </c>
      <c r="CZ43" s="14"/>
      <c r="DA43" s="7">
        <f t="shared" si="57"/>
        <v>0</v>
      </c>
      <c r="DB43" s="9"/>
      <c r="DC43" s="9"/>
      <c r="DD43" s="7">
        <f t="shared" si="25"/>
        <v>0</v>
      </c>
      <c r="DE43" s="7">
        <f t="shared" si="58"/>
        <v>0</v>
      </c>
      <c r="DF43" s="10" t="e">
        <f t="shared" si="59"/>
        <v>#DIV/0!</v>
      </c>
      <c r="DG43" s="7">
        <f t="shared" si="60"/>
        <v>0.45</v>
      </c>
      <c r="DH43" s="7">
        <f t="shared" si="61"/>
        <v>0</v>
      </c>
      <c r="DI43" s="14">
        <f t="shared" si="62"/>
        <v>0</v>
      </c>
      <c r="DJ43" s="11">
        <f t="shared" si="63"/>
        <v>0</v>
      </c>
      <c r="DK43" s="11">
        <f t="shared" si="64"/>
        <v>0</v>
      </c>
      <c r="DL43" s="29"/>
      <c r="DM43" s="7"/>
      <c r="DN43" s="7"/>
      <c r="DO43" s="7"/>
      <c r="DP43" s="12" t="e">
        <f t="shared" si="32"/>
        <v>#DIV/0!</v>
      </c>
      <c r="DQ43" s="15"/>
    </row>
    <row r="44" spans="1:121" x14ac:dyDescent="0.3">
      <c r="A44" s="1"/>
      <c r="C44" s="7"/>
      <c r="D44" s="7"/>
      <c r="E44" s="7"/>
      <c r="F44" s="7"/>
      <c r="G44" s="7"/>
      <c r="H44" s="7"/>
      <c r="I44" s="7"/>
      <c r="J44" s="7"/>
      <c r="K44" s="16">
        <f t="shared" si="33"/>
        <v>0</v>
      </c>
      <c r="L44" s="7"/>
      <c r="M44" s="7"/>
      <c r="N44" s="14"/>
      <c r="O44" s="13">
        <f t="shared" si="34"/>
        <v>0</v>
      </c>
      <c r="P44" s="14"/>
      <c r="Q44" s="7">
        <f t="shared" si="35"/>
        <v>0</v>
      </c>
      <c r="R44" s="8"/>
      <c r="S44" s="8"/>
      <c r="T44" s="7"/>
      <c r="U44" s="7"/>
      <c r="V44" s="14"/>
      <c r="W44" s="7">
        <f t="shared" si="36"/>
        <v>0</v>
      </c>
      <c r="X44" s="14"/>
      <c r="Y44" s="7">
        <f t="shared" si="37"/>
        <v>0</v>
      </c>
      <c r="Z44" s="9"/>
      <c r="AA44" s="9"/>
      <c r="AB44" s="7"/>
      <c r="AC44" s="7"/>
      <c r="AD44" s="14"/>
      <c r="AE44" s="7">
        <f t="shared" si="38"/>
        <v>0</v>
      </c>
      <c r="AF44" s="14"/>
      <c r="AG44" s="7">
        <f t="shared" si="39"/>
        <v>0</v>
      </c>
      <c r="AH44" s="9"/>
      <c r="AI44" s="9"/>
      <c r="AJ44" s="7"/>
      <c r="AK44" s="7"/>
      <c r="AL44" s="14"/>
      <c r="AM44" s="7">
        <f t="shared" si="40"/>
        <v>0</v>
      </c>
      <c r="AN44" s="14"/>
      <c r="AO44" s="7">
        <f t="shared" si="41"/>
        <v>0</v>
      </c>
      <c r="AP44" s="9"/>
      <c r="AQ44" s="9"/>
      <c r="AR44" s="7"/>
      <c r="AS44" s="7"/>
      <c r="AT44" s="14"/>
      <c r="AU44" s="7">
        <f t="shared" si="42"/>
        <v>0</v>
      </c>
      <c r="AV44" s="14"/>
      <c r="AW44" s="7">
        <f t="shared" si="43"/>
        <v>0</v>
      </c>
      <c r="AX44" s="9"/>
      <c r="AY44" s="9"/>
      <c r="AZ44" s="7"/>
      <c r="BA44" s="7"/>
      <c r="BB44" s="14"/>
      <c r="BC44" s="7">
        <f t="shared" si="44"/>
        <v>0</v>
      </c>
      <c r="BD44" s="14"/>
      <c r="BE44" s="7">
        <f t="shared" si="45"/>
        <v>0</v>
      </c>
      <c r="BF44" s="9"/>
      <c r="BG44" s="9"/>
      <c r="BH44" s="7"/>
      <c r="BI44" s="7"/>
      <c r="BJ44" s="14"/>
      <c r="BK44" s="7">
        <f t="shared" si="46"/>
        <v>0</v>
      </c>
      <c r="BL44" s="14"/>
      <c r="BM44" s="7">
        <f t="shared" si="47"/>
        <v>0</v>
      </c>
      <c r="BN44" s="9"/>
      <c r="BO44" s="9"/>
      <c r="BP44" s="7"/>
      <c r="BQ44" s="7"/>
      <c r="BR44" s="14"/>
      <c r="BS44" s="7">
        <f t="shared" si="48"/>
        <v>0</v>
      </c>
      <c r="BT44" s="14"/>
      <c r="BU44" s="7">
        <f t="shared" si="49"/>
        <v>0</v>
      </c>
      <c r="BV44" s="9"/>
      <c r="BW44" s="9"/>
      <c r="BX44" s="7"/>
      <c r="BY44" s="7"/>
      <c r="BZ44" s="10"/>
      <c r="CA44" s="7">
        <f t="shared" si="50"/>
        <v>0</v>
      </c>
      <c r="CB44" s="14"/>
      <c r="CC44" s="7">
        <f t="shared" si="51"/>
        <v>0</v>
      </c>
      <c r="CD44" s="9"/>
      <c r="CE44" s="9"/>
      <c r="CF44" s="7">
        <v>0</v>
      </c>
      <c r="CG44" s="7">
        <v>0.45</v>
      </c>
      <c r="CH44" s="14"/>
      <c r="CI44" s="7">
        <f t="shared" si="52"/>
        <v>0</v>
      </c>
      <c r="CJ44" s="14"/>
      <c r="CK44" s="13">
        <f t="shared" si="53"/>
        <v>0</v>
      </c>
      <c r="CL44" s="9"/>
      <c r="CM44" s="9"/>
      <c r="CN44" s="7"/>
      <c r="CO44" s="7"/>
      <c r="CP44" s="14"/>
      <c r="CQ44" s="13">
        <f t="shared" si="54"/>
        <v>0</v>
      </c>
      <c r="CR44" s="14"/>
      <c r="CS44" s="13">
        <f t="shared" si="55"/>
        <v>0</v>
      </c>
      <c r="CT44" s="9"/>
      <c r="CU44" s="9"/>
      <c r="CV44" s="7"/>
      <c r="CW44" s="7"/>
      <c r="CX44" s="14"/>
      <c r="CY44" s="13">
        <f t="shared" si="56"/>
        <v>0</v>
      </c>
      <c r="CZ44" s="14"/>
      <c r="DA44" s="7">
        <f t="shared" si="57"/>
        <v>0</v>
      </c>
      <c r="DB44" s="9"/>
      <c r="DC44" s="9"/>
      <c r="DD44" s="7">
        <f t="shared" si="25"/>
        <v>0</v>
      </c>
      <c r="DE44" s="7">
        <f t="shared" si="58"/>
        <v>0</v>
      </c>
      <c r="DF44" s="10" t="e">
        <f t="shared" si="59"/>
        <v>#DIV/0!</v>
      </c>
      <c r="DG44" s="7">
        <f t="shared" si="60"/>
        <v>0.45</v>
      </c>
      <c r="DH44" s="7">
        <f t="shared" si="61"/>
        <v>0</v>
      </c>
      <c r="DI44" s="14">
        <f t="shared" si="62"/>
        <v>0</v>
      </c>
      <c r="DJ44" s="11">
        <f t="shared" si="63"/>
        <v>0</v>
      </c>
      <c r="DK44" s="11">
        <f t="shared" si="64"/>
        <v>0</v>
      </c>
      <c r="DL44" s="29"/>
      <c r="DM44" s="7"/>
      <c r="DN44" s="7"/>
      <c r="DO44" s="7"/>
      <c r="DP44" s="12" t="e">
        <f t="shared" si="32"/>
        <v>#DIV/0!</v>
      </c>
      <c r="DQ44" s="15"/>
    </row>
    <row r="45" spans="1:121" x14ac:dyDescent="0.3">
      <c r="A45" s="1"/>
      <c r="C45" s="7"/>
      <c r="D45" s="7"/>
      <c r="E45" s="7"/>
      <c r="F45" s="7"/>
      <c r="G45" s="7"/>
      <c r="H45" s="7"/>
      <c r="I45" s="7"/>
      <c r="J45" s="7"/>
      <c r="K45" s="16">
        <f t="shared" si="33"/>
        <v>0</v>
      </c>
      <c r="L45" s="7"/>
      <c r="M45" s="7"/>
      <c r="N45" s="14"/>
      <c r="O45" s="13">
        <f t="shared" si="34"/>
        <v>0</v>
      </c>
      <c r="P45" s="14"/>
      <c r="Q45" s="7">
        <f t="shared" si="35"/>
        <v>0</v>
      </c>
      <c r="R45" s="8"/>
      <c r="S45" s="8"/>
      <c r="T45" s="7"/>
      <c r="U45" s="7"/>
      <c r="V45" s="14"/>
      <c r="W45" s="7">
        <f t="shared" si="36"/>
        <v>0</v>
      </c>
      <c r="X45" s="14"/>
      <c r="Y45" s="7">
        <f t="shared" si="37"/>
        <v>0</v>
      </c>
      <c r="Z45" s="9"/>
      <c r="AA45" s="9"/>
      <c r="AB45" s="7"/>
      <c r="AC45" s="7"/>
      <c r="AD45" s="14"/>
      <c r="AE45" s="7">
        <f t="shared" si="38"/>
        <v>0</v>
      </c>
      <c r="AF45" s="14"/>
      <c r="AG45" s="7">
        <f t="shared" si="39"/>
        <v>0</v>
      </c>
      <c r="AH45" s="9"/>
      <c r="AI45" s="9"/>
      <c r="AJ45" s="7"/>
      <c r="AK45" s="7"/>
      <c r="AL45" s="14"/>
      <c r="AM45" s="7">
        <f t="shared" si="40"/>
        <v>0</v>
      </c>
      <c r="AN45" s="14"/>
      <c r="AO45" s="7">
        <f t="shared" si="41"/>
        <v>0</v>
      </c>
      <c r="AP45" s="9"/>
      <c r="AQ45" s="9"/>
      <c r="AR45" s="7"/>
      <c r="AS45" s="7"/>
      <c r="AT45" s="14"/>
      <c r="AU45" s="7">
        <f t="shared" si="42"/>
        <v>0</v>
      </c>
      <c r="AV45" s="14"/>
      <c r="AW45" s="7">
        <f t="shared" si="43"/>
        <v>0</v>
      </c>
      <c r="AX45" s="9"/>
      <c r="AY45" s="9"/>
      <c r="AZ45" s="7"/>
      <c r="BA45" s="7"/>
      <c r="BB45" s="14"/>
      <c r="BC45" s="7">
        <f t="shared" si="44"/>
        <v>0</v>
      </c>
      <c r="BD45" s="14"/>
      <c r="BE45" s="7">
        <f t="shared" si="45"/>
        <v>0</v>
      </c>
      <c r="BF45" s="9"/>
      <c r="BG45" s="9"/>
      <c r="BH45" s="7"/>
      <c r="BI45" s="7"/>
      <c r="BJ45" s="14"/>
      <c r="BK45" s="7">
        <f t="shared" si="46"/>
        <v>0</v>
      </c>
      <c r="BL45" s="14"/>
      <c r="BM45" s="7">
        <f t="shared" si="47"/>
        <v>0</v>
      </c>
      <c r="BN45" s="9"/>
      <c r="BO45" s="9"/>
      <c r="BP45" s="7"/>
      <c r="BQ45" s="7"/>
      <c r="BR45" s="14"/>
      <c r="BS45" s="7">
        <f t="shared" si="48"/>
        <v>0</v>
      </c>
      <c r="BT45" s="14"/>
      <c r="BU45" s="7">
        <f t="shared" si="49"/>
        <v>0</v>
      </c>
      <c r="BV45" s="9"/>
      <c r="BW45" s="9"/>
      <c r="BX45" s="7"/>
      <c r="BY45" s="7"/>
      <c r="BZ45" s="10"/>
      <c r="CA45" s="7">
        <f t="shared" si="50"/>
        <v>0</v>
      </c>
      <c r="CB45" s="14"/>
      <c r="CC45" s="7">
        <f t="shared" si="51"/>
        <v>0</v>
      </c>
      <c r="CD45" s="9"/>
      <c r="CE45" s="9"/>
      <c r="CF45" s="7"/>
      <c r="CG45" s="7"/>
      <c r="CH45" s="14"/>
      <c r="CI45" s="7">
        <f t="shared" si="52"/>
        <v>0</v>
      </c>
      <c r="CJ45" s="14"/>
      <c r="CK45" s="13">
        <f t="shared" si="53"/>
        <v>0</v>
      </c>
      <c r="CL45" s="9"/>
      <c r="CM45" s="9"/>
      <c r="CN45" s="7"/>
      <c r="CO45" s="7"/>
      <c r="CP45" s="14"/>
      <c r="CQ45" s="13">
        <f t="shared" si="54"/>
        <v>0</v>
      </c>
      <c r="CR45" s="14"/>
      <c r="CS45" s="13">
        <f t="shared" si="55"/>
        <v>0</v>
      </c>
      <c r="CT45" s="9"/>
      <c r="CU45" s="9"/>
      <c r="CV45" s="7"/>
      <c r="CW45" s="7"/>
      <c r="CX45" s="14"/>
      <c r="CY45" s="13">
        <f t="shared" si="56"/>
        <v>0</v>
      </c>
      <c r="CZ45" s="14"/>
      <c r="DA45" s="7">
        <f t="shared" si="57"/>
        <v>0</v>
      </c>
      <c r="DB45" s="9"/>
      <c r="DC45" s="9"/>
      <c r="DD45" s="7">
        <f t="shared" si="25"/>
        <v>0</v>
      </c>
      <c r="DE45" s="7">
        <f t="shared" si="58"/>
        <v>0</v>
      </c>
      <c r="DF45" s="10" t="e">
        <f t="shared" si="59"/>
        <v>#DIV/0!</v>
      </c>
      <c r="DG45" s="7">
        <f t="shared" si="60"/>
        <v>0</v>
      </c>
      <c r="DH45" s="7">
        <f t="shared" si="61"/>
        <v>0</v>
      </c>
      <c r="DI45" s="14" t="e">
        <f t="shared" si="62"/>
        <v>#DIV/0!</v>
      </c>
      <c r="DJ45" s="11">
        <f t="shared" si="63"/>
        <v>0</v>
      </c>
      <c r="DK45" s="11">
        <f t="shared" si="64"/>
        <v>0</v>
      </c>
      <c r="DL45" s="29"/>
      <c r="DM45" s="7"/>
      <c r="DN45" s="7"/>
      <c r="DO45" s="7"/>
      <c r="DP45" s="12" t="e">
        <f t="shared" si="32"/>
        <v>#DIV/0!</v>
      </c>
      <c r="DQ45" s="15"/>
    </row>
    <row r="46" spans="1:121" x14ac:dyDescent="0.3">
      <c r="A46" s="1"/>
      <c r="C46" s="7"/>
      <c r="D46" s="7"/>
      <c r="E46" s="7"/>
      <c r="F46" s="7"/>
      <c r="G46" s="7"/>
      <c r="H46" s="7"/>
      <c r="I46" s="7"/>
      <c r="J46" s="7"/>
      <c r="K46" s="16">
        <f t="shared" si="33"/>
        <v>0</v>
      </c>
      <c r="L46" s="7"/>
      <c r="M46" s="7"/>
      <c r="N46" s="14"/>
      <c r="O46" s="13">
        <f t="shared" si="34"/>
        <v>0</v>
      </c>
      <c r="P46" s="14"/>
      <c r="Q46" s="7">
        <f t="shared" si="35"/>
        <v>0</v>
      </c>
      <c r="R46" s="8"/>
      <c r="S46" s="8"/>
      <c r="T46" s="7"/>
      <c r="U46" s="7"/>
      <c r="V46" s="14"/>
      <c r="W46" s="7">
        <f t="shared" si="36"/>
        <v>0</v>
      </c>
      <c r="X46" s="14"/>
      <c r="Y46" s="7">
        <f t="shared" si="37"/>
        <v>0</v>
      </c>
      <c r="Z46" s="9"/>
      <c r="AA46" s="9"/>
      <c r="AB46" s="7"/>
      <c r="AC46" s="7"/>
      <c r="AD46" s="14"/>
      <c r="AE46" s="7">
        <f t="shared" si="38"/>
        <v>0</v>
      </c>
      <c r="AF46" s="14"/>
      <c r="AG46" s="7">
        <f t="shared" si="39"/>
        <v>0</v>
      </c>
      <c r="AH46" s="9"/>
      <c r="AI46" s="9"/>
      <c r="AJ46" s="7"/>
      <c r="AK46" s="7"/>
      <c r="AL46" s="14"/>
      <c r="AM46" s="7">
        <f t="shared" si="40"/>
        <v>0</v>
      </c>
      <c r="AN46" s="14"/>
      <c r="AO46" s="7">
        <f t="shared" si="41"/>
        <v>0</v>
      </c>
      <c r="AP46" s="9"/>
      <c r="AQ46" s="9"/>
      <c r="AR46" s="7"/>
      <c r="AS46" s="7"/>
      <c r="AT46" s="14"/>
      <c r="AU46" s="7">
        <f t="shared" si="42"/>
        <v>0</v>
      </c>
      <c r="AV46" s="14"/>
      <c r="AW46" s="7">
        <f t="shared" si="43"/>
        <v>0</v>
      </c>
      <c r="AX46" s="9"/>
      <c r="AY46" s="9"/>
      <c r="AZ46" s="7"/>
      <c r="BA46" s="7"/>
      <c r="BB46" s="14"/>
      <c r="BC46" s="7">
        <f t="shared" si="44"/>
        <v>0</v>
      </c>
      <c r="BD46" s="14"/>
      <c r="BE46" s="7">
        <f t="shared" si="45"/>
        <v>0</v>
      </c>
      <c r="BF46" s="9"/>
      <c r="BG46" s="9"/>
      <c r="BH46" s="7"/>
      <c r="BI46" s="7"/>
      <c r="BJ46" s="14"/>
      <c r="BK46" s="7">
        <f t="shared" si="46"/>
        <v>0</v>
      </c>
      <c r="BL46" s="14"/>
      <c r="BM46" s="7">
        <f t="shared" si="47"/>
        <v>0</v>
      </c>
      <c r="BN46" s="9"/>
      <c r="BO46" s="9"/>
      <c r="BP46" s="7"/>
      <c r="BQ46" s="7"/>
      <c r="BR46" s="14"/>
      <c r="BS46" s="7">
        <f t="shared" si="48"/>
        <v>0</v>
      </c>
      <c r="BT46" s="14"/>
      <c r="BU46" s="7">
        <f t="shared" si="49"/>
        <v>0</v>
      </c>
      <c r="BV46" s="9"/>
      <c r="BW46" s="9"/>
      <c r="BX46" s="7"/>
      <c r="BY46" s="7"/>
      <c r="BZ46" s="10"/>
      <c r="CA46" s="7">
        <f t="shared" si="50"/>
        <v>0</v>
      </c>
      <c r="CB46" s="14"/>
      <c r="CC46" s="7">
        <f t="shared" si="51"/>
        <v>0</v>
      </c>
      <c r="CD46" s="9"/>
      <c r="CE46" s="9"/>
      <c r="CF46" s="7"/>
      <c r="CG46" s="7"/>
      <c r="CH46" s="14"/>
      <c r="CI46" s="7">
        <f t="shared" si="52"/>
        <v>0</v>
      </c>
      <c r="CJ46" s="14"/>
      <c r="CK46" s="13">
        <f t="shared" si="53"/>
        <v>0</v>
      </c>
      <c r="CL46" s="9"/>
      <c r="CM46" s="9"/>
      <c r="CN46" s="7"/>
      <c r="CO46" s="7"/>
      <c r="CP46" s="14"/>
      <c r="CQ46" s="13">
        <f t="shared" si="54"/>
        <v>0</v>
      </c>
      <c r="CR46" s="14"/>
      <c r="CS46" s="13">
        <f t="shared" si="55"/>
        <v>0</v>
      </c>
      <c r="CT46" s="9"/>
      <c r="CU46" s="9"/>
      <c r="CV46" s="7"/>
      <c r="CW46" s="7"/>
      <c r="CX46" s="14"/>
      <c r="CY46" s="13">
        <f t="shared" si="56"/>
        <v>0</v>
      </c>
      <c r="CZ46" s="14"/>
      <c r="DA46" s="7">
        <f t="shared" si="57"/>
        <v>0</v>
      </c>
      <c r="DB46" s="9"/>
      <c r="DC46" s="9"/>
      <c r="DD46" s="7">
        <f t="shared" si="25"/>
        <v>0</v>
      </c>
      <c r="DE46" s="7">
        <f t="shared" si="58"/>
        <v>0</v>
      </c>
      <c r="DF46" s="10" t="e">
        <f t="shared" si="59"/>
        <v>#DIV/0!</v>
      </c>
      <c r="DG46" s="7">
        <f t="shared" si="60"/>
        <v>0</v>
      </c>
      <c r="DH46" s="7">
        <f t="shared" si="61"/>
        <v>0</v>
      </c>
      <c r="DI46" s="14" t="e">
        <f t="shared" si="62"/>
        <v>#DIV/0!</v>
      </c>
      <c r="DJ46" s="11">
        <f t="shared" si="63"/>
        <v>0</v>
      </c>
      <c r="DK46" s="11">
        <f t="shared" si="64"/>
        <v>0</v>
      </c>
      <c r="DL46" s="29"/>
      <c r="DM46" s="7"/>
      <c r="DN46" s="7"/>
      <c r="DO46" s="7"/>
      <c r="DP46" s="12" t="e">
        <f t="shared" si="32"/>
        <v>#DIV/0!</v>
      </c>
      <c r="DQ46" s="15"/>
    </row>
    <row r="47" spans="1:121" x14ac:dyDescent="0.3">
      <c r="A47" s="1"/>
      <c r="C47" s="7"/>
      <c r="D47" s="7"/>
      <c r="E47" s="7"/>
      <c r="F47" s="7"/>
      <c r="G47" s="7"/>
      <c r="H47" s="7"/>
      <c r="I47" s="7"/>
      <c r="J47" s="7"/>
      <c r="K47" s="16">
        <f t="shared" si="33"/>
        <v>0</v>
      </c>
      <c r="L47" s="7"/>
      <c r="M47" s="7"/>
      <c r="N47" s="14"/>
      <c r="O47" s="13">
        <f t="shared" si="34"/>
        <v>0</v>
      </c>
      <c r="P47" s="14"/>
      <c r="Q47" s="7">
        <f t="shared" si="35"/>
        <v>0</v>
      </c>
      <c r="R47" s="8"/>
      <c r="S47" s="8"/>
      <c r="T47" s="7"/>
      <c r="U47" s="7"/>
      <c r="V47" s="14"/>
      <c r="W47" s="7">
        <f t="shared" si="36"/>
        <v>0</v>
      </c>
      <c r="X47" s="14"/>
      <c r="Y47" s="7">
        <f t="shared" si="37"/>
        <v>0</v>
      </c>
      <c r="Z47" s="9"/>
      <c r="AA47" s="9"/>
      <c r="AB47" s="7"/>
      <c r="AC47" s="7"/>
      <c r="AD47" s="14"/>
      <c r="AE47" s="7">
        <f t="shared" si="38"/>
        <v>0</v>
      </c>
      <c r="AF47" s="14"/>
      <c r="AG47" s="7">
        <f t="shared" si="39"/>
        <v>0</v>
      </c>
      <c r="AH47" s="9"/>
      <c r="AI47" s="9"/>
      <c r="AJ47" s="7"/>
      <c r="AK47" s="7"/>
      <c r="AL47" s="14"/>
      <c r="AM47" s="7">
        <f t="shared" si="40"/>
        <v>0</v>
      </c>
      <c r="AN47" s="14"/>
      <c r="AO47" s="7">
        <f t="shared" si="41"/>
        <v>0</v>
      </c>
      <c r="AP47" s="9"/>
      <c r="AQ47" s="9"/>
      <c r="AR47" s="7"/>
      <c r="AS47" s="7"/>
      <c r="AT47" s="14"/>
      <c r="AU47" s="7">
        <f t="shared" si="42"/>
        <v>0</v>
      </c>
      <c r="AV47" s="14"/>
      <c r="AW47" s="7">
        <f t="shared" si="43"/>
        <v>0</v>
      </c>
      <c r="AX47" s="9"/>
      <c r="AY47" s="9"/>
      <c r="AZ47" s="7"/>
      <c r="BA47" s="7"/>
      <c r="BB47" s="14"/>
      <c r="BC47" s="7">
        <f t="shared" si="44"/>
        <v>0</v>
      </c>
      <c r="BD47" s="14"/>
      <c r="BE47" s="7">
        <f t="shared" si="45"/>
        <v>0</v>
      </c>
      <c r="BF47" s="9"/>
      <c r="BG47" s="9"/>
      <c r="BH47" s="7"/>
      <c r="BI47" s="7"/>
      <c r="BJ47" s="14"/>
      <c r="BK47" s="7">
        <f t="shared" si="46"/>
        <v>0</v>
      </c>
      <c r="BL47" s="14"/>
      <c r="BM47" s="7">
        <f t="shared" si="47"/>
        <v>0</v>
      </c>
      <c r="BN47" s="9"/>
      <c r="BO47" s="9"/>
      <c r="BP47" s="7"/>
      <c r="BQ47" s="7"/>
      <c r="BR47" s="14"/>
      <c r="BS47" s="7">
        <f t="shared" si="48"/>
        <v>0</v>
      </c>
      <c r="BT47" s="14"/>
      <c r="BU47" s="7">
        <f t="shared" si="49"/>
        <v>0</v>
      </c>
      <c r="BV47" s="9"/>
      <c r="BW47" s="9"/>
      <c r="BX47" s="7"/>
      <c r="BY47" s="7"/>
      <c r="BZ47" s="10"/>
      <c r="CA47" s="7">
        <f t="shared" si="50"/>
        <v>0</v>
      </c>
      <c r="CB47" s="14"/>
      <c r="CC47" s="7">
        <f t="shared" si="51"/>
        <v>0</v>
      </c>
      <c r="CD47" s="9"/>
      <c r="CE47" s="9"/>
      <c r="CF47" s="7"/>
      <c r="CG47" s="7"/>
      <c r="CH47" s="14"/>
      <c r="CI47" s="7">
        <f t="shared" si="52"/>
        <v>0</v>
      </c>
      <c r="CJ47" s="14"/>
      <c r="CK47" s="13">
        <f t="shared" si="53"/>
        <v>0</v>
      </c>
      <c r="CL47" s="9"/>
      <c r="CM47" s="9"/>
      <c r="CN47" s="7"/>
      <c r="CO47" s="7"/>
      <c r="CP47" s="14"/>
      <c r="CQ47" s="13">
        <f t="shared" si="54"/>
        <v>0</v>
      </c>
      <c r="CR47" s="14"/>
      <c r="CS47" s="13">
        <f t="shared" si="55"/>
        <v>0</v>
      </c>
      <c r="CT47" s="9"/>
      <c r="CU47" s="9"/>
      <c r="CV47" s="7"/>
      <c r="CW47" s="7"/>
      <c r="CX47" s="14"/>
      <c r="CY47" s="13">
        <f t="shared" si="56"/>
        <v>0</v>
      </c>
      <c r="CZ47" s="14"/>
      <c r="DA47" s="7">
        <f t="shared" si="57"/>
        <v>0</v>
      </c>
      <c r="DB47" s="9"/>
      <c r="DC47" s="9"/>
      <c r="DD47" s="7">
        <f t="shared" si="25"/>
        <v>0</v>
      </c>
      <c r="DE47" s="7">
        <f t="shared" si="58"/>
        <v>0</v>
      </c>
      <c r="DF47" s="10" t="e">
        <f t="shared" si="59"/>
        <v>#DIV/0!</v>
      </c>
      <c r="DG47" s="7">
        <f t="shared" si="60"/>
        <v>0</v>
      </c>
      <c r="DH47" s="7">
        <f t="shared" si="61"/>
        <v>0</v>
      </c>
      <c r="DI47" s="14" t="e">
        <f t="shared" si="62"/>
        <v>#DIV/0!</v>
      </c>
      <c r="DJ47" s="11">
        <f t="shared" si="63"/>
        <v>0</v>
      </c>
      <c r="DK47" s="11">
        <f t="shared" si="64"/>
        <v>0</v>
      </c>
      <c r="DL47" s="29"/>
      <c r="DM47" s="7"/>
      <c r="DN47" s="7"/>
      <c r="DO47" s="7"/>
      <c r="DP47" s="12" t="e">
        <f t="shared" si="32"/>
        <v>#DIV/0!</v>
      </c>
      <c r="DQ47" s="15"/>
    </row>
    <row r="48" spans="1:121" x14ac:dyDescent="0.3">
      <c r="A48" s="1"/>
      <c r="C48" s="7"/>
      <c r="D48" s="7"/>
      <c r="E48" s="7"/>
      <c r="F48" s="7"/>
      <c r="G48" s="7"/>
      <c r="H48" s="7"/>
      <c r="I48" s="7"/>
      <c r="J48" s="7"/>
      <c r="K48" s="16">
        <f t="shared" si="33"/>
        <v>0</v>
      </c>
      <c r="L48" s="7"/>
      <c r="M48" s="7"/>
      <c r="N48" s="14"/>
      <c r="O48" s="13">
        <f t="shared" si="34"/>
        <v>0</v>
      </c>
      <c r="P48" s="14"/>
      <c r="Q48" s="7">
        <f t="shared" si="35"/>
        <v>0</v>
      </c>
      <c r="R48" s="8"/>
      <c r="S48" s="8"/>
      <c r="T48" s="7"/>
      <c r="U48" s="7"/>
      <c r="V48" s="14"/>
      <c r="W48" s="7">
        <f t="shared" si="36"/>
        <v>0</v>
      </c>
      <c r="X48" s="14"/>
      <c r="Y48" s="7">
        <f t="shared" si="37"/>
        <v>0</v>
      </c>
      <c r="Z48" s="9"/>
      <c r="AA48" s="9"/>
      <c r="AB48" s="7"/>
      <c r="AC48" s="7"/>
      <c r="AD48" s="14"/>
      <c r="AE48" s="7">
        <f t="shared" si="38"/>
        <v>0</v>
      </c>
      <c r="AF48" s="14"/>
      <c r="AG48" s="7">
        <f t="shared" si="39"/>
        <v>0</v>
      </c>
      <c r="AH48" s="9"/>
      <c r="AI48" s="9"/>
      <c r="AJ48" s="7"/>
      <c r="AK48" s="7"/>
      <c r="AL48" s="14"/>
      <c r="AM48" s="7">
        <f t="shared" si="40"/>
        <v>0</v>
      </c>
      <c r="AN48" s="14"/>
      <c r="AO48" s="7">
        <f t="shared" si="41"/>
        <v>0</v>
      </c>
      <c r="AP48" s="9"/>
      <c r="AQ48" s="9"/>
      <c r="AR48" s="7"/>
      <c r="AS48" s="7"/>
      <c r="AT48" s="14"/>
      <c r="AU48" s="7">
        <f t="shared" si="42"/>
        <v>0</v>
      </c>
      <c r="AV48" s="14"/>
      <c r="AW48" s="7">
        <f t="shared" si="43"/>
        <v>0</v>
      </c>
      <c r="AX48" s="9"/>
      <c r="AY48" s="9"/>
      <c r="AZ48" s="7"/>
      <c r="BA48" s="7"/>
      <c r="BB48" s="14"/>
      <c r="BC48" s="7">
        <f t="shared" si="44"/>
        <v>0</v>
      </c>
      <c r="BD48" s="14"/>
      <c r="BE48" s="7">
        <f t="shared" si="45"/>
        <v>0</v>
      </c>
      <c r="BF48" s="9"/>
      <c r="BG48" s="9"/>
      <c r="BH48" s="7"/>
      <c r="BI48" s="7"/>
      <c r="BJ48" s="14"/>
      <c r="BK48" s="7">
        <f t="shared" si="46"/>
        <v>0</v>
      </c>
      <c r="BL48" s="14"/>
      <c r="BM48" s="7">
        <f t="shared" si="47"/>
        <v>0</v>
      </c>
      <c r="BN48" s="9"/>
      <c r="BO48" s="9"/>
      <c r="BP48" s="7"/>
      <c r="BQ48" s="7"/>
      <c r="BR48" s="14"/>
      <c r="BS48" s="7">
        <f t="shared" si="48"/>
        <v>0</v>
      </c>
      <c r="BT48" s="14"/>
      <c r="BU48" s="7">
        <f t="shared" si="49"/>
        <v>0</v>
      </c>
      <c r="BV48" s="9"/>
      <c r="BW48" s="9"/>
      <c r="BX48" s="7"/>
      <c r="BY48" s="7"/>
      <c r="BZ48" s="10"/>
      <c r="CA48" s="7">
        <f t="shared" si="50"/>
        <v>0</v>
      </c>
      <c r="CB48" s="14"/>
      <c r="CC48" s="7">
        <f t="shared" si="51"/>
        <v>0</v>
      </c>
      <c r="CD48" s="9"/>
      <c r="CE48" s="9"/>
      <c r="CF48" s="7"/>
      <c r="CG48" s="7"/>
      <c r="CH48" s="14"/>
      <c r="CI48" s="7">
        <f t="shared" si="52"/>
        <v>0</v>
      </c>
      <c r="CJ48" s="14"/>
      <c r="CK48" s="13">
        <f t="shared" si="53"/>
        <v>0</v>
      </c>
      <c r="CL48" s="9"/>
      <c r="CM48" s="9"/>
      <c r="CN48" s="7"/>
      <c r="CO48" s="7"/>
      <c r="CP48" s="14"/>
      <c r="CQ48" s="13">
        <f t="shared" si="54"/>
        <v>0</v>
      </c>
      <c r="CR48" s="14"/>
      <c r="CS48" s="13">
        <f t="shared" si="55"/>
        <v>0</v>
      </c>
      <c r="CT48" s="9"/>
      <c r="CU48" s="9"/>
      <c r="CV48" s="7"/>
      <c r="CW48" s="7"/>
      <c r="CX48" s="14"/>
      <c r="CY48" s="13">
        <f t="shared" si="56"/>
        <v>0</v>
      </c>
      <c r="CZ48" s="14"/>
      <c r="DA48" s="7">
        <f t="shared" si="57"/>
        <v>0</v>
      </c>
      <c r="DB48" s="9"/>
      <c r="DC48" s="9"/>
      <c r="DD48" s="7">
        <f t="shared" si="25"/>
        <v>0</v>
      </c>
      <c r="DE48" s="7">
        <f t="shared" si="58"/>
        <v>0</v>
      </c>
      <c r="DF48" s="10" t="e">
        <f t="shared" si="59"/>
        <v>#DIV/0!</v>
      </c>
      <c r="DG48" s="7">
        <f t="shared" si="60"/>
        <v>0</v>
      </c>
      <c r="DH48" s="7">
        <f t="shared" si="61"/>
        <v>0</v>
      </c>
      <c r="DI48" s="14" t="e">
        <f t="shared" si="62"/>
        <v>#DIV/0!</v>
      </c>
      <c r="DJ48" s="11">
        <f t="shared" si="63"/>
        <v>0</v>
      </c>
      <c r="DK48" s="11">
        <f t="shared" si="64"/>
        <v>0</v>
      </c>
      <c r="DL48" s="29"/>
      <c r="DM48" s="7"/>
      <c r="DN48" s="7"/>
      <c r="DO48" s="7"/>
      <c r="DP48" s="12" t="e">
        <f t="shared" si="32"/>
        <v>#DIV/0!</v>
      </c>
      <c r="DQ48" s="15"/>
    </row>
    <row r="49" spans="1:122" x14ac:dyDescent="0.3">
      <c r="A49" s="1"/>
      <c r="C49" s="7"/>
      <c r="D49" s="7"/>
      <c r="E49" s="7"/>
      <c r="F49" s="7"/>
      <c r="G49" s="7"/>
      <c r="H49" s="7"/>
      <c r="I49" s="7"/>
      <c r="J49" s="7"/>
      <c r="K49" s="16">
        <f t="shared" si="33"/>
        <v>0</v>
      </c>
      <c r="L49" s="7"/>
      <c r="M49" s="7"/>
      <c r="N49" s="14"/>
      <c r="O49" s="13">
        <f t="shared" si="34"/>
        <v>0</v>
      </c>
      <c r="P49" s="14"/>
      <c r="Q49" s="7">
        <f t="shared" si="35"/>
        <v>0</v>
      </c>
      <c r="R49" s="8"/>
      <c r="S49" s="8"/>
      <c r="T49" s="7"/>
      <c r="U49" s="7"/>
      <c r="V49" s="14"/>
      <c r="W49" s="7">
        <f t="shared" si="36"/>
        <v>0</v>
      </c>
      <c r="X49" s="14"/>
      <c r="Y49" s="7">
        <f t="shared" si="37"/>
        <v>0</v>
      </c>
      <c r="Z49" s="9"/>
      <c r="AA49" s="9"/>
      <c r="AB49" s="7"/>
      <c r="AC49" s="7"/>
      <c r="AD49" s="14"/>
      <c r="AE49" s="7">
        <f t="shared" si="38"/>
        <v>0</v>
      </c>
      <c r="AF49" s="14"/>
      <c r="AG49" s="7">
        <f t="shared" si="39"/>
        <v>0</v>
      </c>
      <c r="AH49" s="9"/>
      <c r="AI49" s="9"/>
      <c r="AJ49" s="7"/>
      <c r="AK49" s="7"/>
      <c r="AL49" s="14"/>
      <c r="AM49" s="7">
        <f t="shared" si="40"/>
        <v>0</v>
      </c>
      <c r="AN49" s="14"/>
      <c r="AO49" s="7">
        <f t="shared" si="41"/>
        <v>0</v>
      </c>
      <c r="AP49" s="9"/>
      <c r="AQ49" s="9"/>
      <c r="AR49" s="7"/>
      <c r="AS49" s="7"/>
      <c r="AT49" s="14"/>
      <c r="AU49" s="7">
        <f t="shared" si="42"/>
        <v>0</v>
      </c>
      <c r="AV49" s="14"/>
      <c r="AW49" s="7">
        <f t="shared" si="43"/>
        <v>0</v>
      </c>
      <c r="AX49" s="9"/>
      <c r="AY49" s="9"/>
      <c r="AZ49" s="7"/>
      <c r="BA49" s="7"/>
      <c r="BB49" s="14"/>
      <c r="BC49" s="7">
        <f t="shared" si="44"/>
        <v>0</v>
      </c>
      <c r="BD49" s="14"/>
      <c r="BE49" s="7">
        <f t="shared" si="45"/>
        <v>0</v>
      </c>
      <c r="BF49" s="9"/>
      <c r="BG49" s="9"/>
      <c r="BH49" s="7"/>
      <c r="BI49" s="7"/>
      <c r="BJ49" s="14"/>
      <c r="BK49" s="7">
        <f t="shared" si="46"/>
        <v>0</v>
      </c>
      <c r="BL49" s="14"/>
      <c r="BM49" s="7">
        <f t="shared" si="47"/>
        <v>0</v>
      </c>
      <c r="BN49" s="9"/>
      <c r="BO49" s="9"/>
      <c r="BP49" s="7"/>
      <c r="BQ49" s="7"/>
      <c r="BR49" s="14"/>
      <c r="BS49" s="7">
        <f t="shared" si="48"/>
        <v>0</v>
      </c>
      <c r="BT49" s="14"/>
      <c r="BU49" s="7">
        <f t="shared" si="49"/>
        <v>0</v>
      </c>
      <c r="BV49" s="9"/>
      <c r="BW49" s="9"/>
      <c r="BX49" s="7"/>
      <c r="BY49" s="7"/>
      <c r="BZ49" s="10"/>
      <c r="CA49" s="7">
        <f t="shared" si="50"/>
        <v>0</v>
      </c>
      <c r="CB49" s="14"/>
      <c r="CC49" s="7">
        <f t="shared" si="51"/>
        <v>0</v>
      </c>
      <c r="CD49" s="9"/>
      <c r="CE49" s="9"/>
      <c r="CF49" s="7"/>
      <c r="CG49" s="7"/>
      <c r="CH49" s="14"/>
      <c r="CI49" s="7">
        <f t="shared" si="52"/>
        <v>0</v>
      </c>
      <c r="CJ49" s="14"/>
      <c r="CK49" s="13">
        <f t="shared" si="53"/>
        <v>0</v>
      </c>
      <c r="CL49" s="9"/>
      <c r="CM49" s="9"/>
      <c r="CN49" s="7"/>
      <c r="CO49" s="7"/>
      <c r="CP49" s="14"/>
      <c r="CQ49" s="13">
        <f t="shared" si="54"/>
        <v>0</v>
      </c>
      <c r="CR49" s="14"/>
      <c r="CS49" s="13">
        <f t="shared" si="55"/>
        <v>0</v>
      </c>
      <c r="CT49" s="9"/>
      <c r="CU49" s="9"/>
      <c r="CV49" s="7"/>
      <c r="CW49" s="7"/>
      <c r="CX49" s="14"/>
      <c r="CY49" s="13">
        <f t="shared" si="56"/>
        <v>0</v>
      </c>
      <c r="CZ49" s="14"/>
      <c r="DA49" s="7">
        <f t="shared" si="57"/>
        <v>0</v>
      </c>
      <c r="DB49" s="9"/>
      <c r="DC49" s="9"/>
      <c r="DD49" s="7">
        <f t="shared" si="25"/>
        <v>0</v>
      </c>
      <c r="DE49" s="7">
        <f t="shared" si="58"/>
        <v>0</v>
      </c>
      <c r="DF49" s="10" t="e">
        <f t="shared" si="59"/>
        <v>#DIV/0!</v>
      </c>
      <c r="DG49" s="7">
        <f t="shared" si="60"/>
        <v>0</v>
      </c>
      <c r="DH49" s="7">
        <f t="shared" si="61"/>
        <v>0</v>
      </c>
      <c r="DI49" s="14" t="e">
        <f t="shared" si="62"/>
        <v>#DIV/0!</v>
      </c>
      <c r="DJ49" s="11">
        <f t="shared" si="63"/>
        <v>0</v>
      </c>
      <c r="DK49" s="11">
        <f t="shared" si="64"/>
        <v>0</v>
      </c>
      <c r="DL49" s="29"/>
      <c r="DM49" s="7"/>
      <c r="DN49" s="7"/>
      <c r="DO49" s="7"/>
      <c r="DP49" s="12" t="e">
        <f t="shared" si="32"/>
        <v>#DIV/0!</v>
      </c>
      <c r="DQ49" s="15"/>
    </row>
    <row r="50" spans="1:122" x14ac:dyDescent="0.3">
      <c r="A50" s="1"/>
      <c r="C50" s="7"/>
      <c r="D50" s="7"/>
      <c r="E50" s="7"/>
      <c r="F50" s="7"/>
      <c r="G50" s="7"/>
      <c r="H50" s="7"/>
      <c r="I50" s="7"/>
      <c r="J50" s="7"/>
      <c r="K50" s="16">
        <f t="shared" si="33"/>
        <v>0</v>
      </c>
      <c r="L50" s="7"/>
      <c r="M50" s="7"/>
      <c r="N50" s="14"/>
      <c r="O50" s="13">
        <f t="shared" si="34"/>
        <v>0</v>
      </c>
      <c r="P50" s="14"/>
      <c r="Q50" s="7">
        <f t="shared" si="35"/>
        <v>0</v>
      </c>
      <c r="R50" s="8"/>
      <c r="S50" s="8"/>
      <c r="T50" s="7"/>
      <c r="U50" s="7"/>
      <c r="V50" s="14"/>
      <c r="W50" s="7">
        <f t="shared" si="36"/>
        <v>0</v>
      </c>
      <c r="X50" s="14"/>
      <c r="Y50" s="7">
        <f t="shared" si="37"/>
        <v>0</v>
      </c>
      <c r="Z50" s="9"/>
      <c r="AA50" s="9"/>
      <c r="AB50" s="7"/>
      <c r="AC50" s="7"/>
      <c r="AD50" s="14"/>
      <c r="AE50" s="7">
        <f t="shared" si="38"/>
        <v>0</v>
      </c>
      <c r="AF50" s="14"/>
      <c r="AG50" s="7">
        <f t="shared" si="39"/>
        <v>0</v>
      </c>
      <c r="AH50" s="9"/>
      <c r="AI50" s="9"/>
      <c r="AJ50" s="7"/>
      <c r="AK50" s="7"/>
      <c r="AL50" s="14"/>
      <c r="AM50" s="7">
        <f t="shared" si="40"/>
        <v>0</v>
      </c>
      <c r="AN50" s="14"/>
      <c r="AO50" s="7">
        <f t="shared" si="41"/>
        <v>0</v>
      </c>
      <c r="AP50" s="9"/>
      <c r="AQ50" s="9"/>
      <c r="AR50" s="7"/>
      <c r="AS50" s="7"/>
      <c r="AT50" s="14"/>
      <c r="AU50" s="7">
        <f t="shared" si="42"/>
        <v>0</v>
      </c>
      <c r="AV50" s="14"/>
      <c r="AW50" s="7">
        <f t="shared" si="43"/>
        <v>0</v>
      </c>
      <c r="AX50" s="9"/>
      <c r="AY50" s="9"/>
      <c r="AZ50" s="7"/>
      <c r="BA50" s="7"/>
      <c r="BB50" s="14"/>
      <c r="BC50" s="7">
        <f t="shared" si="44"/>
        <v>0</v>
      </c>
      <c r="BD50" s="14"/>
      <c r="BE50" s="7">
        <f t="shared" si="45"/>
        <v>0</v>
      </c>
      <c r="BF50" s="9"/>
      <c r="BG50" s="9"/>
      <c r="BH50" s="7"/>
      <c r="BI50" s="7"/>
      <c r="BJ50" s="14"/>
      <c r="BK50" s="7">
        <f t="shared" si="46"/>
        <v>0</v>
      </c>
      <c r="BL50" s="14"/>
      <c r="BM50" s="7">
        <f t="shared" si="47"/>
        <v>0</v>
      </c>
      <c r="BN50" s="9"/>
      <c r="BO50" s="9"/>
      <c r="BP50" s="7"/>
      <c r="BQ50" s="7"/>
      <c r="BR50" s="14"/>
      <c r="BS50" s="7">
        <f t="shared" si="48"/>
        <v>0</v>
      </c>
      <c r="BT50" s="14"/>
      <c r="BU50" s="7">
        <f t="shared" si="49"/>
        <v>0</v>
      </c>
      <c r="BV50" s="9"/>
      <c r="BW50" s="9"/>
      <c r="BX50" s="7"/>
      <c r="BY50" s="7"/>
      <c r="BZ50" s="10"/>
      <c r="CA50" s="7">
        <f t="shared" si="50"/>
        <v>0</v>
      </c>
      <c r="CB50" s="14"/>
      <c r="CC50" s="7">
        <f t="shared" si="51"/>
        <v>0</v>
      </c>
      <c r="CD50" s="9"/>
      <c r="CE50" s="9"/>
      <c r="CF50" s="7"/>
      <c r="CG50" s="7"/>
      <c r="CH50" s="14"/>
      <c r="CI50" s="7">
        <f t="shared" si="52"/>
        <v>0</v>
      </c>
      <c r="CJ50" s="14"/>
      <c r="CK50" s="13">
        <f t="shared" si="53"/>
        <v>0</v>
      </c>
      <c r="CL50" s="9"/>
      <c r="CM50" s="9"/>
      <c r="CN50" s="7"/>
      <c r="CO50" s="7"/>
      <c r="CP50" s="14"/>
      <c r="CQ50" s="13">
        <f t="shared" si="54"/>
        <v>0</v>
      </c>
      <c r="CR50" s="14"/>
      <c r="CS50" s="13">
        <f t="shared" si="55"/>
        <v>0</v>
      </c>
      <c r="CT50" s="9"/>
      <c r="CU50" s="9"/>
      <c r="CV50" s="7"/>
      <c r="CW50" s="7"/>
      <c r="CX50" s="14"/>
      <c r="CY50" s="13">
        <f t="shared" si="56"/>
        <v>0</v>
      </c>
      <c r="CZ50" s="14"/>
      <c r="DA50" s="7">
        <f t="shared" si="57"/>
        <v>0</v>
      </c>
      <c r="DB50" s="9"/>
      <c r="DC50" s="9"/>
      <c r="DD50" s="7">
        <f t="shared" si="25"/>
        <v>0</v>
      </c>
      <c r="DE50" s="7">
        <f t="shared" si="58"/>
        <v>0</v>
      </c>
      <c r="DF50" s="10" t="e">
        <f t="shared" si="59"/>
        <v>#DIV/0!</v>
      </c>
      <c r="DG50" s="7">
        <f t="shared" si="60"/>
        <v>0</v>
      </c>
      <c r="DH50" s="7">
        <f t="shared" si="61"/>
        <v>0</v>
      </c>
      <c r="DI50" s="14" t="e">
        <f t="shared" si="62"/>
        <v>#DIV/0!</v>
      </c>
      <c r="DJ50" s="11">
        <f t="shared" si="63"/>
        <v>0</v>
      </c>
      <c r="DK50" s="11">
        <f t="shared" si="64"/>
        <v>0</v>
      </c>
      <c r="DL50" s="29"/>
      <c r="DM50" s="7"/>
      <c r="DN50" s="7"/>
      <c r="DO50" s="7"/>
      <c r="DP50" s="12" t="e">
        <f t="shared" si="32"/>
        <v>#DIV/0!</v>
      </c>
      <c r="DQ50" s="15"/>
    </row>
    <row r="51" spans="1:122" x14ac:dyDescent="0.3">
      <c r="A51" s="1"/>
      <c r="C51" s="7"/>
      <c r="D51" s="7"/>
      <c r="E51" s="7"/>
      <c r="F51" s="7"/>
      <c r="G51" s="7"/>
      <c r="H51" s="7"/>
      <c r="I51" s="7"/>
      <c r="J51" s="7"/>
      <c r="K51" s="16">
        <f t="shared" si="33"/>
        <v>0</v>
      </c>
      <c r="L51" s="7"/>
      <c r="M51" s="7"/>
      <c r="N51" s="14"/>
      <c r="O51" s="13">
        <f t="shared" si="34"/>
        <v>0</v>
      </c>
      <c r="P51" s="14"/>
      <c r="Q51" s="7">
        <f t="shared" si="35"/>
        <v>0</v>
      </c>
      <c r="R51" s="8"/>
      <c r="S51" s="8"/>
      <c r="T51" s="7"/>
      <c r="U51" s="7"/>
      <c r="V51" s="14"/>
      <c r="W51" s="7">
        <f t="shared" si="36"/>
        <v>0</v>
      </c>
      <c r="X51" s="14"/>
      <c r="Y51" s="7">
        <f t="shared" si="37"/>
        <v>0</v>
      </c>
      <c r="Z51" s="9"/>
      <c r="AA51" s="9"/>
      <c r="AB51" s="7"/>
      <c r="AC51" s="7"/>
      <c r="AD51" s="14"/>
      <c r="AE51" s="7">
        <f t="shared" si="38"/>
        <v>0</v>
      </c>
      <c r="AF51" s="14"/>
      <c r="AG51" s="7">
        <f t="shared" si="39"/>
        <v>0</v>
      </c>
      <c r="AH51" s="9"/>
      <c r="AI51" s="9"/>
      <c r="AJ51" s="7"/>
      <c r="AK51" s="7"/>
      <c r="AL51" s="14"/>
      <c r="AM51" s="7">
        <f t="shared" si="40"/>
        <v>0</v>
      </c>
      <c r="AN51" s="14"/>
      <c r="AO51" s="7">
        <f t="shared" si="41"/>
        <v>0</v>
      </c>
      <c r="AP51" s="9"/>
      <c r="AQ51" s="9"/>
      <c r="AR51" s="7"/>
      <c r="AS51" s="7"/>
      <c r="AT51" s="14"/>
      <c r="AU51" s="7">
        <f t="shared" si="42"/>
        <v>0</v>
      </c>
      <c r="AV51" s="14"/>
      <c r="AW51" s="7">
        <f t="shared" si="43"/>
        <v>0</v>
      </c>
      <c r="AX51" s="9"/>
      <c r="AY51" s="9"/>
      <c r="AZ51" s="7"/>
      <c r="BA51" s="7"/>
      <c r="BB51" s="14"/>
      <c r="BC51" s="7">
        <f t="shared" si="44"/>
        <v>0</v>
      </c>
      <c r="BD51" s="14"/>
      <c r="BE51" s="7">
        <f t="shared" si="45"/>
        <v>0</v>
      </c>
      <c r="BF51" s="9"/>
      <c r="BG51" s="9"/>
      <c r="BH51" s="7"/>
      <c r="BI51" s="7"/>
      <c r="BJ51" s="14"/>
      <c r="BK51" s="7">
        <f t="shared" si="46"/>
        <v>0</v>
      </c>
      <c r="BL51" s="14"/>
      <c r="BM51" s="7">
        <f t="shared" si="47"/>
        <v>0</v>
      </c>
      <c r="BN51" s="9"/>
      <c r="BO51" s="9"/>
      <c r="BP51" s="7"/>
      <c r="BQ51" s="7"/>
      <c r="BR51" s="14"/>
      <c r="BS51" s="7">
        <f t="shared" si="48"/>
        <v>0</v>
      </c>
      <c r="BT51" s="14"/>
      <c r="BU51" s="7">
        <f t="shared" si="49"/>
        <v>0</v>
      </c>
      <c r="BV51" s="9"/>
      <c r="BW51" s="9"/>
      <c r="BX51" s="7"/>
      <c r="BY51" s="7"/>
      <c r="BZ51" s="10"/>
      <c r="CA51" s="7">
        <f t="shared" si="50"/>
        <v>0</v>
      </c>
      <c r="CB51" s="14"/>
      <c r="CC51" s="7">
        <f t="shared" si="51"/>
        <v>0</v>
      </c>
      <c r="CD51" s="9"/>
      <c r="CE51" s="9"/>
      <c r="CF51" s="7"/>
      <c r="CG51" s="7"/>
      <c r="CH51" s="14"/>
      <c r="CI51" s="7">
        <f t="shared" si="52"/>
        <v>0</v>
      </c>
      <c r="CJ51" s="14"/>
      <c r="CK51" s="13">
        <f t="shared" si="53"/>
        <v>0</v>
      </c>
      <c r="CL51" s="9"/>
      <c r="CM51" s="9"/>
      <c r="CN51" s="7"/>
      <c r="CO51" s="7"/>
      <c r="CP51" s="14"/>
      <c r="CQ51" s="13">
        <f t="shared" si="54"/>
        <v>0</v>
      </c>
      <c r="CR51" s="14"/>
      <c r="CS51" s="13">
        <f t="shared" si="55"/>
        <v>0</v>
      </c>
      <c r="CT51" s="9"/>
      <c r="CU51" s="9"/>
      <c r="CV51" s="7"/>
      <c r="CW51" s="7"/>
      <c r="CX51" s="14"/>
      <c r="CY51" s="13">
        <f t="shared" si="56"/>
        <v>0</v>
      </c>
      <c r="CZ51" s="14"/>
      <c r="DA51" s="7">
        <f t="shared" si="57"/>
        <v>0</v>
      </c>
      <c r="DB51" s="9"/>
      <c r="DC51" s="9"/>
      <c r="DD51" s="7">
        <f t="shared" si="25"/>
        <v>0</v>
      </c>
      <c r="DE51" s="7">
        <f t="shared" si="58"/>
        <v>0</v>
      </c>
      <c r="DF51" s="10" t="e">
        <f t="shared" si="59"/>
        <v>#DIV/0!</v>
      </c>
      <c r="DG51" s="7">
        <f t="shared" si="60"/>
        <v>0</v>
      </c>
      <c r="DH51" s="7">
        <f t="shared" si="61"/>
        <v>0</v>
      </c>
      <c r="DI51" s="14" t="e">
        <f t="shared" si="62"/>
        <v>#DIV/0!</v>
      </c>
      <c r="DJ51" s="11">
        <f t="shared" si="63"/>
        <v>0</v>
      </c>
      <c r="DK51" s="11">
        <f t="shared" si="64"/>
        <v>0</v>
      </c>
      <c r="DL51" s="29"/>
      <c r="DM51" s="7"/>
      <c r="DN51" s="7"/>
      <c r="DO51" s="7"/>
      <c r="DP51" s="12" t="e">
        <f t="shared" si="32"/>
        <v>#DIV/0!</v>
      </c>
      <c r="DQ51" s="15"/>
    </row>
    <row r="52" spans="1:122" x14ac:dyDescent="0.3">
      <c r="A52" s="1"/>
      <c r="C52" s="7"/>
      <c r="D52" s="7"/>
      <c r="E52" s="7"/>
      <c r="F52" s="7"/>
      <c r="G52" s="7"/>
      <c r="H52" s="7"/>
      <c r="I52" s="7"/>
      <c r="J52" s="7"/>
      <c r="K52" s="16">
        <f t="shared" si="33"/>
        <v>0</v>
      </c>
      <c r="L52" s="7"/>
      <c r="M52" s="7"/>
      <c r="N52" s="14"/>
      <c r="O52" s="13">
        <f t="shared" si="34"/>
        <v>0</v>
      </c>
      <c r="P52" s="14"/>
      <c r="Q52" s="7">
        <f t="shared" si="35"/>
        <v>0</v>
      </c>
      <c r="R52" s="8"/>
      <c r="S52" s="8"/>
      <c r="T52" s="7"/>
      <c r="U52" s="7"/>
      <c r="V52" s="14"/>
      <c r="W52" s="7">
        <f t="shared" si="36"/>
        <v>0</v>
      </c>
      <c r="X52" s="14"/>
      <c r="Y52" s="7">
        <f t="shared" si="37"/>
        <v>0</v>
      </c>
      <c r="Z52" s="9"/>
      <c r="AA52" s="9"/>
      <c r="AB52" s="7"/>
      <c r="AC52" s="7"/>
      <c r="AD52" s="14"/>
      <c r="AE52" s="7">
        <f t="shared" si="38"/>
        <v>0</v>
      </c>
      <c r="AF52" s="14"/>
      <c r="AG52" s="7">
        <f t="shared" si="39"/>
        <v>0</v>
      </c>
      <c r="AH52" s="9"/>
      <c r="AI52" s="9"/>
      <c r="AJ52" s="7"/>
      <c r="AK52" s="7"/>
      <c r="AL52" s="14"/>
      <c r="AM52" s="7">
        <f t="shared" si="40"/>
        <v>0</v>
      </c>
      <c r="AN52" s="14"/>
      <c r="AO52" s="7">
        <f t="shared" si="41"/>
        <v>0</v>
      </c>
      <c r="AP52" s="9"/>
      <c r="AQ52" s="9"/>
      <c r="AR52" s="7"/>
      <c r="AS52" s="7"/>
      <c r="AT52" s="14"/>
      <c r="AU52" s="7">
        <f t="shared" si="42"/>
        <v>0</v>
      </c>
      <c r="AV52" s="14"/>
      <c r="AW52" s="7">
        <f t="shared" si="43"/>
        <v>0</v>
      </c>
      <c r="AX52" s="9"/>
      <c r="AY52" s="9"/>
      <c r="AZ52" s="7"/>
      <c r="BA52" s="7"/>
      <c r="BB52" s="14"/>
      <c r="BC52" s="7">
        <f t="shared" si="44"/>
        <v>0</v>
      </c>
      <c r="BD52" s="14"/>
      <c r="BE52" s="7">
        <f t="shared" si="45"/>
        <v>0</v>
      </c>
      <c r="BF52" s="9"/>
      <c r="BG52" s="9"/>
      <c r="BH52" s="7"/>
      <c r="BI52" s="7"/>
      <c r="BJ52" s="14"/>
      <c r="BK52" s="7">
        <f t="shared" si="46"/>
        <v>0</v>
      </c>
      <c r="BL52" s="14"/>
      <c r="BM52" s="7">
        <f t="shared" si="47"/>
        <v>0</v>
      </c>
      <c r="BN52" s="9"/>
      <c r="BO52" s="9"/>
      <c r="BP52" s="7"/>
      <c r="BQ52" s="7"/>
      <c r="BR52" s="14"/>
      <c r="BS52" s="7">
        <f t="shared" si="48"/>
        <v>0</v>
      </c>
      <c r="BT52" s="14"/>
      <c r="BU52" s="7">
        <f t="shared" si="49"/>
        <v>0</v>
      </c>
      <c r="BV52" s="9"/>
      <c r="BW52" s="9"/>
      <c r="BX52" s="7"/>
      <c r="BY52" s="7"/>
      <c r="BZ52" s="10"/>
      <c r="CA52" s="7">
        <f t="shared" si="50"/>
        <v>0</v>
      </c>
      <c r="CB52" s="14"/>
      <c r="CC52" s="7">
        <f t="shared" si="51"/>
        <v>0</v>
      </c>
      <c r="CD52" s="9"/>
      <c r="CE52" s="9"/>
      <c r="CF52" s="7"/>
      <c r="CG52" s="7"/>
      <c r="CH52" s="14"/>
      <c r="CI52" s="7">
        <f t="shared" si="52"/>
        <v>0</v>
      </c>
      <c r="CJ52" s="14"/>
      <c r="CK52" s="13">
        <f t="shared" si="53"/>
        <v>0</v>
      </c>
      <c r="CL52" s="9"/>
      <c r="CM52" s="9"/>
      <c r="CN52" s="7"/>
      <c r="CO52" s="7"/>
      <c r="CP52" s="14"/>
      <c r="CQ52" s="13">
        <f t="shared" si="54"/>
        <v>0</v>
      </c>
      <c r="CR52" s="14"/>
      <c r="CS52" s="13">
        <f t="shared" si="55"/>
        <v>0</v>
      </c>
      <c r="CT52" s="9"/>
      <c r="CU52" s="9"/>
      <c r="CV52" s="7"/>
      <c r="CW52" s="7"/>
      <c r="CX52" s="14"/>
      <c r="CY52" s="13">
        <f t="shared" si="56"/>
        <v>0</v>
      </c>
      <c r="CZ52" s="14"/>
      <c r="DA52" s="7">
        <f t="shared" si="57"/>
        <v>0</v>
      </c>
      <c r="DB52" s="9"/>
      <c r="DC52" s="9"/>
      <c r="DD52" s="7">
        <f t="shared" si="25"/>
        <v>0</v>
      </c>
      <c r="DE52" s="7">
        <f t="shared" si="58"/>
        <v>0</v>
      </c>
      <c r="DF52" s="10" t="e">
        <f t="shared" si="59"/>
        <v>#DIV/0!</v>
      </c>
      <c r="DG52" s="7">
        <f t="shared" si="60"/>
        <v>0</v>
      </c>
      <c r="DH52" s="7">
        <f t="shared" si="61"/>
        <v>0</v>
      </c>
      <c r="DI52" s="14" t="e">
        <f t="shared" si="62"/>
        <v>#DIV/0!</v>
      </c>
      <c r="DJ52" s="11">
        <f t="shared" si="63"/>
        <v>0</v>
      </c>
      <c r="DK52" s="11">
        <f t="shared" si="64"/>
        <v>0</v>
      </c>
      <c r="DL52" s="29"/>
      <c r="DM52" s="7"/>
      <c r="DN52" s="7"/>
      <c r="DO52" s="7"/>
      <c r="DP52" s="12" t="e">
        <f t="shared" si="32"/>
        <v>#DIV/0!</v>
      </c>
      <c r="DQ52" s="15"/>
    </row>
    <row r="53" spans="1:122" x14ac:dyDescent="0.3">
      <c r="A53" s="1"/>
      <c r="C53" s="7"/>
      <c r="D53" s="7"/>
      <c r="E53" s="7"/>
      <c r="F53" s="7"/>
      <c r="G53" s="7"/>
      <c r="H53" s="7"/>
      <c r="I53" s="7"/>
      <c r="J53" s="7"/>
      <c r="K53" s="16">
        <f t="shared" si="33"/>
        <v>0</v>
      </c>
      <c r="L53" s="7"/>
      <c r="M53" s="7"/>
      <c r="N53" s="14"/>
      <c r="O53" s="13">
        <f t="shared" si="34"/>
        <v>0</v>
      </c>
      <c r="P53" s="14"/>
      <c r="Q53" s="7">
        <f t="shared" si="35"/>
        <v>0</v>
      </c>
      <c r="R53" s="8"/>
      <c r="S53" s="8"/>
      <c r="T53" s="7"/>
      <c r="U53" s="7"/>
      <c r="V53" s="14"/>
      <c r="W53" s="7">
        <f t="shared" si="36"/>
        <v>0</v>
      </c>
      <c r="X53" s="14"/>
      <c r="Y53" s="7">
        <f t="shared" si="37"/>
        <v>0</v>
      </c>
      <c r="Z53" s="9"/>
      <c r="AA53" s="9"/>
      <c r="AB53" s="7"/>
      <c r="AC53" s="7"/>
      <c r="AD53" s="14"/>
      <c r="AE53" s="7">
        <f t="shared" si="38"/>
        <v>0</v>
      </c>
      <c r="AF53" s="14"/>
      <c r="AG53" s="7">
        <f t="shared" si="39"/>
        <v>0</v>
      </c>
      <c r="AH53" s="9"/>
      <c r="AI53" s="9"/>
      <c r="AJ53" s="7"/>
      <c r="AK53" s="7"/>
      <c r="AL53" s="14"/>
      <c r="AM53" s="7">
        <f t="shared" si="40"/>
        <v>0</v>
      </c>
      <c r="AN53" s="14"/>
      <c r="AO53" s="7">
        <f t="shared" si="41"/>
        <v>0</v>
      </c>
      <c r="AP53" s="9"/>
      <c r="AQ53" s="9"/>
      <c r="AR53" s="7"/>
      <c r="AS53" s="7"/>
      <c r="AT53" s="14"/>
      <c r="AU53" s="7">
        <f t="shared" si="42"/>
        <v>0</v>
      </c>
      <c r="AV53" s="14"/>
      <c r="AW53" s="7">
        <f t="shared" si="43"/>
        <v>0</v>
      </c>
      <c r="AX53" s="9"/>
      <c r="AY53" s="9"/>
      <c r="AZ53" s="7"/>
      <c r="BA53" s="7"/>
      <c r="BB53" s="14"/>
      <c r="BC53" s="7">
        <f t="shared" si="44"/>
        <v>0</v>
      </c>
      <c r="BD53" s="14"/>
      <c r="BE53" s="7">
        <f t="shared" si="45"/>
        <v>0</v>
      </c>
      <c r="BF53" s="9"/>
      <c r="BG53" s="9"/>
      <c r="BH53" s="7"/>
      <c r="BI53" s="7"/>
      <c r="BJ53" s="14"/>
      <c r="BK53" s="7">
        <f t="shared" si="46"/>
        <v>0</v>
      </c>
      <c r="BL53" s="14"/>
      <c r="BM53" s="7">
        <f t="shared" si="47"/>
        <v>0</v>
      </c>
      <c r="BN53" s="9"/>
      <c r="BO53" s="9"/>
      <c r="BP53" s="7"/>
      <c r="BQ53" s="7"/>
      <c r="BR53" s="14"/>
      <c r="BS53" s="7">
        <f t="shared" si="48"/>
        <v>0</v>
      </c>
      <c r="BT53" s="14"/>
      <c r="BU53" s="7">
        <f t="shared" si="49"/>
        <v>0</v>
      </c>
      <c r="BV53" s="9"/>
      <c r="BW53" s="9"/>
      <c r="BX53" s="7"/>
      <c r="BY53" s="7"/>
      <c r="BZ53" s="10"/>
      <c r="CA53" s="7">
        <f t="shared" si="50"/>
        <v>0</v>
      </c>
      <c r="CB53" s="14"/>
      <c r="CC53" s="7">
        <f t="shared" si="51"/>
        <v>0</v>
      </c>
      <c r="CD53" s="9"/>
      <c r="CE53" s="9"/>
      <c r="CF53" s="7"/>
      <c r="CG53" s="7"/>
      <c r="CH53" s="14"/>
      <c r="CI53" s="7">
        <f t="shared" si="52"/>
        <v>0</v>
      </c>
      <c r="CJ53" s="14"/>
      <c r="CK53" s="13">
        <f t="shared" si="53"/>
        <v>0</v>
      </c>
      <c r="CL53" s="9"/>
      <c r="CM53" s="9"/>
      <c r="CN53" s="7"/>
      <c r="CO53" s="7"/>
      <c r="CP53" s="14"/>
      <c r="CQ53" s="13">
        <f t="shared" si="54"/>
        <v>0</v>
      </c>
      <c r="CR53" s="14"/>
      <c r="CS53" s="13">
        <f t="shared" si="55"/>
        <v>0</v>
      </c>
      <c r="CT53" s="9"/>
      <c r="CU53" s="9"/>
      <c r="CV53" s="7"/>
      <c r="CW53" s="7"/>
      <c r="CX53" s="14"/>
      <c r="CY53" s="13">
        <f t="shared" si="56"/>
        <v>0</v>
      </c>
      <c r="CZ53" s="14"/>
      <c r="DA53" s="7">
        <f t="shared" si="57"/>
        <v>0</v>
      </c>
      <c r="DB53" s="9"/>
      <c r="DC53" s="9"/>
      <c r="DD53" s="7">
        <f t="shared" si="25"/>
        <v>0</v>
      </c>
      <c r="DE53" s="7">
        <f t="shared" si="58"/>
        <v>0</v>
      </c>
      <c r="DF53" s="10" t="e">
        <f t="shared" si="59"/>
        <v>#DIV/0!</v>
      </c>
      <c r="DG53" s="7">
        <f t="shared" si="60"/>
        <v>0</v>
      </c>
      <c r="DH53" s="7">
        <f t="shared" si="61"/>
        <v>0</v>
      </c>
      <c r="DI53" s="14" t="e">
        <f t="shared" si="62"/>
        <v>#DIV/0!</v>
      </c>
      <c r="DJ53" s="11">
        <f t="shared" si="63"/>
        <v>0</v>
      </c>
      <c r="DK53" s="11">
        <f t="shared" si="64"/>
        <v>0</v>
      </c>
      <c r="DL53" s="29"/>
      <c r="DM53" s="7"/>
      <c r="DN53" s="7"/>
      <c r="DO53" s="7"/>
      <c r="DP53" s="12" t="e">
        <f t="shared" si="32"/>
        <v>#DIV/0!</v>
      </c>
      <c r="DQ53" s="15"/>
    </row>
    <row r="54" spans="1:122" x14ac:dyDescent="0.3">
      <c r="A54" s="1"/>
      <c r="C54" s="7"/>
      <c r="D54" s="7"/>
      <c r="E54" s="7"/>
      <c r="F54" s="7"/>
      <c r="G54" s="7"/>
      <c r="H54" s="7"/>
      <c r="I54" s="7"/>
      <c r="J54" s="7"/>
      <c r="K54" s="16">
        <f t="shared" si="33"/>
        <v>0</v>
      </c>
      <c r="L54" s="7"/>
      <c r="M54" s="7"/>
      <c r="N54" s="14"/>
      <c r="O54" s="13">
        <f t="shared" si="34"/>
        <v>0</v>
      </c>
      <c r="P54" s="14"/>
      <c r="Q54" s="7">
        <f t="shared" si="35"/>
        <v>0</v>
      </c>
      <c r="R54" s="8"/>
      <c r="S54" s="8"/>
      <c r="T54" s="7"/>
      <c r="U54" s="7"/>
      <c r="V54" s="14"/>
      <c r="W54" s="7">
        <f t="shared" si="36"/>
        <v>0</v>
      </c>
      <c r="X54" s="14"/>
      <c r="Y54" s="7">
        <f t="shared" si="37"/>
        <v>0</v>
      </c>
      <c r="Z54" s="9"/>
      <c r="AA54" s="9"/>
      <c r="AB54" s="7"/>
      <c r="AC54" s="7"/>
      <c r="AD54" s="14"/>
      <c r="AE54" s="7">
        <f t="shared" si="38"/>
        <v>0</v>
      </c>
      <c r="AF54" s="14"/>
      <c r="AG54" s="7">
        <f t="shared" si="39"/>
        <v>0</v>
      </c>
      <c r="AH54" s="9"/>
      <c r="AI54" s="9"/>
      <c r="AJ54" s="7"/>
      <c r="AK54" s="7"/>
      <c r="AL54" s="14"/>
      <c r="AM54" s="7">
        <f t="shared" si="40"/>
        <v>0</v>
      </c>
      <c r="AN54" s="14"/>
      <c r="AO54" s="7">
        <f t="shared" si="41"/>
        <v>0</v>
      </c>
      <c r="AP54" s="9"/>
      <c r="AQ54" s="9"/>
      <c r="AR54" s="7"/>
      <c r="AS54" s="7"/>
      <c r="AT54" s="14"/>
      <c r="AU54" s="7">
        <f t="shared" si="42"/>
        <v>0</v>
      </c>
      <c r="AV54" s="14"/>
      <c r="AW54" s="7">
        <f t="shared" si="43"/>
        <v>0</v>
      </c>
      <c r="AX54" s="9"/>
      <c r="AY54" s="9"/>
      <c r="AZ54" s="7"/>
      <c r="BA54" s="7"/>
      <c r="BB54" s="14"/>
      <c r="BC54" s="7">
        <f t="shared" si="44"/>
        <v>0</v>
      </c>
      <c r="BD54" s="14"/>
      <c r="BE54" s="7">
        <f t="shared" si="45"/>
        <v>0</v>
      </c>
      <c r="BF54" s="9"/>
      <c r="BG54" s="9"/>
      <c r="BH54" s="7"/>
      <c r="BI54" s="7"/>
      <c r="BJ54" s="14"/>
      <c r="BK54" s="7">
        <f t="shared" si="46"/>
        <v>0</v>
      </c>
      <c r="BL54" s="14"/>
      <c r="BM54" s="7">
        <f t="shared" si="47"/>
        <v>0</v>
      </c>
      <c r="BN54" s="9"/>
      <c r="BO54" s="9"/>
      <c r="BP54" s="7"/>
      <c r="BQ54" s="7"/>
      <c r="BR54" s="14"/>
      <c r="BS54" s="7">
        <f t="shared" si="48"/>
        <v>0</v>
      </c>
      <c r="BT54" s="14"/>
      <c r="BU54" s="7">
        <f t="shared" si="49"/>
        <v>0</v>
      </c>
      <c r="BV54" s="9"/>
      <c r="BW54" s="9"/>
      <c r="BX54" s="7"/>
      <c r="BY54" s="7"/>
      <c r="BZ54" s="10"/>
      <c r="CA54" s="7">
        <f t="shared" si="50"/>
        <v>0</v>
      </c>
      <c r="CB54" s="14"/>
      <c r="CC54" s="7">
        <f t="shared" si="51"/>
        <v>0</v>
      </c>
      <c r="CD54" s="9"/>
      <c r="CE54" s="9"/>
      <c r="CF54" s="7"/>
      <c r="CG54" s="7"/>
      <c r="CH54" s="14"/>
      <c r="CI54" s="7">
        <f t="shared" si="52"/>
        <v>0</v>
      </c>
      <c r="CJ54" s="14"/>
      <c r="CK54" s="13">
        <f t="shared" si="53"/>
        <v>0</v>
      </c>
      <c r="CL54" s="9"/>
      <c r="CM54" s="9"/>
      <c r="CN54" s="7"/>
      <c r="CO54" s="7"/>
      <c r="CP54" s="14"/>
      <c r="CQ54" s="13">
        <f t="shared" si="54"/>
        <v>0</v>
      </c>
      <c r="CR54" s="14"/>
      <c r="CS54" s="13">
        <f t="shared" si="55"/>
        <v>0</v>
      </c>
      <c r="CT54" s="9"/>
      <c r="CU54" s="9"/>
      <c r="CV54" s="7"/>
      <c r="CW54" s="7"/>
      <c r="CX54" s="14"/>
      <c r="CY54" s="13">
        <f t="shared" si="56"/>
        <v>0</v>
      </c>
      <c r="CZ54" s="14"/>
      <c r="DA54" s="7">
        <f t="shared" si="57"/>
        <v>0</v>
      </c>
      <c r="DB54" s="9"/>
      <c r="DC54" s="9"/>
      <c r="DD54" s="7">
        <f t="shared" si="25"/>
        <v>0</v>
      </c>
      <c r="DE54" s="7">
        <f t="shared" si="58"/>
        <v>0</v>
      </c>
      <c r="DF54" s="10" t="e">
        <f t="shared" si="59"/>
        <v>#DIV/0!</v>
      </c>
      <c r="DG54" s="7">
        <f t="shared" si="60"/>
        <v>0</v>
      </c>
      <c r="DH54" s="7">
        <f t="shared" si="61"/>
        <v>0</v>
      </c>
      <c r="DI54" s="14" t="e">
        <f t="shared" si="62"/>
        <v>#DIV/0!</v>
      </c>
      <c r="DJ54" s="11">
        <f t="shared" si="63"/>
        <v>0</v>
      </c>
      <c r="DK54" s="11">
        <f t="shared" si="64"/>
        <v>0</v>
      </c>
      <c r="DL54" s="29"/>
      <c r="DM54" s="7"/>
      <c r="DN54" s="7"/>
      <c r="DO54" s="7"/>
      <c r="DP54" s="12" t="e">
        <f t="shared" si="32"/>
        <v>#DIV/0!</v>
      </c>
      <c r="DQ54" s="15"/>
    </row>
    <row r="55" spans="1:122" x14ac:dyDescent="0.3">
      <c r="A55" s="1"/>
      <c r="C55" s="7"/>
      <c r="D55" s="7"/>
      <c r="E55" s="7"/>
      <c r="F55" s="7"/>
      <c r="G55" s="7"/>
      <c r="H55" s="7"/>
      <c r="I55" s="7"/>
      <c r="J55" s="7"/>
      <c r="K55" s="16">
        <f t="shared" si="33"/>
        <v>0</v>
      </c>
      <c r="L55" s="7"/>
      <c r="M55" s="7"/>
      <c r="N55" s="14"/>
      <c r="O55" s="13">
        <f t="shared" si="34"/>
        <v>0</v>
      </c>
      <c r="P55" s="14"/>
      <c r="Q55" s="7">
        <f t="shared" si="35"/>
        <v>0</v>
      </c>
      <c r="R55" s="8"/>
      <c r="S55" s="8"/>
      <c r="T55" s="7"/>
      <c r="U55" s="7"/>
      <c r="V55" s="14"/>
      <c r="W55" s="7">
        <f t="shared" si="36"/>
        <v>0</v>
      </c>
      <c r="X55" s="14"/>
      <c r="Y55" s="7">
        <f t="shared" si="37"/>
        <v>0</v>
      </c>
      <c r="Z55" s="9"/>
      <c r="AA55" s="9"/>
      <c r="AB55" s="7"/>
      <c r="AC55" s="7"/>
      <c r="AD55" s="14"/>
      <c r="AE55" s="7">
        <f t="shared" si="38"/>
        <v>0</v>
      </c>
      <c r="AF55" s="14"/>
      <c r="AG55" s="7">
        <f t="shared" si="39"/>
        <v>0</v>
      </c>
      <c r="AH55" s="9"/>
      <c r="AI55" s="9"/>
      <c r="AJ55" s="7"/>
      <c r="AK55" s="7"/>
      <c r="AL55" s="14"/>
      <c r="AM55" s="7">
        <f t="shared" si="40"/>
        <v>0</v>
      </c>
      <c r="AN55" s="14"/>
      <c r="AO55" s="7">
        <f t="shared" si="41"/>
        <v>0</v>
      </c>
      <c r="AP55" s="9"/>
      <c r="AQ55" s="9"/>
      <c r="AR55" s="7"/>
      <c r="AS55" s="7"/>
      <c r="AT55" s="14"/>
      <c r="AU55" s="7">
        <f t="shared" si="42"/>
        <v>0</v>
      </c>
      <c r="AV55" s="14"/>
      <c r="AW55" s="7">
        <f t="shared" si="43"/>
        <v>0</v>
      </c>
      <c r="AX55" s="9"/>
      <c r="AY55" s="9"/>
      <c r="AZ55" s="7"/>
      <c r="BA55" s="7"/>
      <c r="BB55" s="14"/>
      <c r="BC55" s="7">
        <f t="shared" si="44"/>
        <v>0</v>
      </c>
      <c r="BD55" s="14"/>
      <c r="BE55" s="7">
        <f t="shared" si="45"/>
        <v>0</v>
      </c>
      <c r="BF55" s="9"/>
      <c r="BG55" s="9"/>
      <c r="BH55" s="7"/>
      <c r="BI55" s="7"/>
      <c r="BJ55" s="14"/>
      <c r="BK55" s="7">
        <f t="shared" si="46"/>
        <v>0</v>
      </c>
      <c r="BL55" s="14"/>
      <c r="BM55" s="7">
        <f t="shared" si="47"/>
        <v>0</v>
      </c>
      <c r="BN55" s="9"/>
      <c r="BO55" s="9"/>
      <c r="BP55" s="7"/>
      <c r="BQ55" s="7"/>
      <c r="BR55" s="14"/>
      <c r="BS55" s="7">
        <f t="shared" si="48"/>
        <v>0</v>
      </c>
      <c r="BT55" s="14"/>
      <c r="BU55" s="7">
        <f t="shared" si="49"/>
        <v>0</v>
      </c>
      <c r="BV55" s="9"/>
      <c r="BW55" s="9"/>
      <c r="BX55" s="7"/>
      <c r="BY55" s="7"/>
      <c r="BZ55" s="10"/>
      <c r="CA55" s="7">
        <f t="shared" si="50"/>
        <v>0</v>
      </c>
      <c r="CB55" s="14"/>
      <c r="CC55" s="7">
        <f t="shared" si="51"/>
        <v>0</v>
      </c>
      <c r="CD55" s="9"/>
      <c r="CE55" s="9"/>
      <c r="CF55" s="7"/>
      <c r="CG55" s="7"/>
      <c r="CH55" s="14"/>
      <c r="CI55" s="7">
        <f t="shared" si="52"/>
        <v>0</v>
      </c>
      <c r="CJ55" s="14"/>
      <c r="CK55" s="13">
        <f t="shared" si="53"/>
        <v>0</v>
      </c>
      <c r="CL55" s="9"/>
      <c r="CM55" s="9"/>
      <c r="CN55" s="7"/>
      <c r="CO55" s="7"/>
      <c r="CP55" s="14"/>
      <c r="CQ55" s="13">
        <f t="shared" si="54"/>
        <v>0</v>
      </c>
      <c r="CR55" s="14"/>
      <c r="CS55" s="13">
        <f t="shared" si="55"/>
        <v>0</v>
      </c>
      <c r="CT55" s="9"/>
      <c r="CU55" s="9"/>
      <c r="CV55" s="7"/>
      <c r="CW55" s="7"/>
      <c r="CX55" s="14"/>
      <c r="CY55" s="13">
        <f t="shared" si="56"/>
        <v>0</v>
      </c>
      <c r="CZ55" s="14"/>
      <c r="DA55" s="7">
        <f t="shared" si="57"/>
        <v>0</v>
      </c>
      <c r="DB55" s="9"/>
      <c r="DC55" s="9"/>
      <c r="DD55" s="7">
        <f t="shared" si="25"/>
        <v>0</v>
      </c>
      <c r="DE55" s="7">
        <f t="shared" si="58"/>
        <v>0</v>
      </c>
      <c r="DF55" s="10" t="e">
        <f t="shared" si="59"/>
        <v>#DIV/0!</v>
      </c>
      <c r="DG55" s="7">
        <f t="shared" si="60"/>
        <v>0</v>
      </c>
      <c r="DH55" s="7">
        <f t="shared" si="61"/>
        <v>0</v>
      </c>
      <c r="DI55" s="14" t="e">
        <f t="shared" si="62"/>
        <v>#DIV/0!</v>
      </c>
      <c r="DJ55" s="11">
        <f t="shared" si="63"/>
        <v>0</v>
      </c>
      <c r="DK55" s="11">
        <f t="shared" si="64"/>
        <v>0</v>
      </c>
      <c r="DL55" s="29"/>
      <c r="DM55" s="7"/>
      <c r="DN55" s="7"/>
      <c r="DO55" s="7"/>
      <c r="DP55" s="12" t="e">
        <f t="shared" si="32"/>
        <v>#DIV/0!</v>
      </c>
      <c r="DQ55" s="15"/>
    </row>
    <row r="56" spans="1:122" x14ac:dyDescent="0.3">
      <c r="A56" s="1"/>
      <c r="C56" s="7"/>
      <c r="D56" s="7"/>
      <c r="E56" s="7"/>
      <c r="F56" s="7"/>
      <c r="G56" s="7"/>
      <c r="H56" s="7"/>
      <c r="I56" s="7"/>
      <c r="J56" s="7"/>
      <c r="K56" s="16">
        <f t="shared" si="33"/>
        <v>0</v>
      </c>
      <c r="L56" s="7"/>
      <c r="M56" s="7"/>
      <c r="N56" s="14"/>
      <c r="O56" s="13">
        <f t="shared" si="34"/>
        <v>0</v>
      </c>
      <c r="P56" s="14"/>
      <c r="Q56" s="7">
        <f t="shared" si="35"/>
        <v>0</v>
      </c>
      <c r="R56" s="8"/>
      <c r="S56" s="8"/>
      <c r="T56" s="7"/>
      <c r="U56" s="7"/>
      <c r="V56" s="14"/>
      <c r="W56" s="7">
        <f t="shared" si="36"/>
        <v>0</v>
      </c>
      <c r="X56" s="14"/>
      <c r="Y56" s="7">
        <f t="shared" si="37"/>
        <v>0</v>
      </c>
      <c r="Z56" s="9"/>
      <c r="AA56" s="9"/>
      <c r="AB56" s="7"/>
      <c r="AC56" s="7"/>
      <c r="AD56" s="14"/>
      <c r="AE56" s="7">
        <f t="shared" si="38"/>
        <v>0</v>
      </c>
      <c r="AF56" s="14"/>
      <c r="AG56" s="7">
        <f t="shared" si="39"/>
        <v>0</v>
      </c>
      <c r="AH56" s="9"/>
      <c r="AI56" s="9"/>
      <c r="AJ56" s="7"/>
      <c r="AK56" s="7"/>
      <c r="AL56" s="14"/>
      <c r="AM56" s="7">
        <f t="shared" si="40"/>
        <v>0</v>
      </c>
      <c r="AN56" s="14"/>
      <c r="AO56" s="7">
        <f t="shared" si="41"/>
        <v>0</v>
      </c>
      <c r="AP56" s="9"/>
      <c r="AQ56" s="9"/>
      <c r="AR56" s="7"/>
      <c r="AS56" s="7"/>
      <c r="AT56" s="14"/>
      <c r="AU56" s="7">
        <f t="shared" si="42"/>
        <v>0</v>
      </c>
      <c r="AV56" s="14"/>
      <c r="AW56" s="7">
        <f t="shared" si="43"/>
        <v>0</v>
      </c>
      <c r="AX56" s="9"/>
      <c r="AY56" s="9"/>
      <c r="AZ56" s="7"/>
      <c r="BA56" s="7"/>
      <c r="BB56" s="14"/>
      <c r="BC56" s="7">
        <f t="shared" si="44"/>
        <v>0</v>
      </c>
      <c r="BD56" s="14"/>
      <c r="BE56" s="7">
        <f t="shared" si="45"/>
        <v>0</v>
      </c>
      <c r="BF56" s="9"/>
      <c r="BG56" s="9"/>
      <c r="BH56" s="7"/>
      <c r="BI56" s="7"/>
      <c r="BJ56" s="14"/>
      <c r="BK56" s="7">
        <f t="shared" si="46"/>
        <v>0</v>
      </c>
      <c r="BL56" s="14"/>
      <c r="BM56" s="7">
        <f t="shared" si="47"/>
        <v>0</v>
      </c>
      <c r="BN56" s="9"/>
      <c r="BO56" s="9"/>
      <c r="BP56" s="7"/>
      <c r="BQ56" s="7"/>
      <c r="BR56" s="14"/>
      <c r="BS56" s="7">
        <f t="shared" si="48"/>
        <v>0</v>
      </c>
      <c r="BT56" s="14"/>
      <c r="BU56" s="7">
        <f t="shared" si="49"/>
        <v>0</v>
      </c>
      <c r="BV56" s="9"/>
      <c r="BW56" s="9"/>
      <c r="BX56" s="7"/>
      <c r="BY56" s="7"/>
      <c r="BZ56" s="10"/>
      <c r="CA56" s="7">
        <f t="shared" si="50"/>
        <v>0</v>
      </c>
      <c r="CB56" s="14"/>
      <c r="CC56" s="7">
        <f t="shared" si="51"/>
        <v>0</v>
      </c>
      <c r="CD56" s="9"/>
      <c r="CE56" s="9"/>
      <c r="CF56" s="7"/>
      <c r="CG56" s="7"/>
      <c r="CH56" s="14"/>
      <c r="CI56" s="7">
        <f t="shared" si="52"/>
        <v>0</v>
      </c>
      <c r="CJ56" s="14"/>
      <c r="CK56" s="13">
        <f t="shared" si="53"/>
        <v>0</v>
      </c>
      <c r="CL56" s="9"/>
      <c r="CM56" s="9"/>
      <c r="CN56" s="7"/>
      <c r="CO56" s="7"/>
      <c r="CP56" s="14"/>
      <c r="CQ56" s="13">
        <f t="shared" si="54"/>
        <v>0</v>
      </c>
      <c r="CR56" s="14"/>
      <c r="CS56" s="13">
        <f t="shared" si="55"/>
        <v>0</v>
      </c>
      <c r="CT56" s="9"/>
      <c r="CU56" s="9"/>
      <c r="CV56" s="7"/>
      <c r="CW56" s="7"/>
      <c r="CX56" s="14"/>
      <c r="CY56" s="13">
        <f t="shared" si="56"/>
        <v>0</v>
      </c>
      <c r="CZ56" s="14"/>
      <c r="DA56" s="7">
        <f t="shared" si="57"/>
        <v>0</v>
      </c>
      <c r="DB56" s="9"/>
      <c r="DC56" s="9"/>
      <c r="DD56" s="7">
        <f t="shared" si="25"/>
        <v>0</v>
      </c>
      <c r="DE56" s="7">
        <f t="shared" si="58"/>
        <v>0</v>
      </c>
      <c r="DF56" s="10" t="e">
        <f t="shared" si="59"/>
        <v>#DIV/0!</v>
      </c>
      <c r="DG56" s="7">
        <f t="shared" si="60"/>
        <v>0</v>
      </c>
      <c r="DH56" s="7">
        <f t="shared" si="61"/>
        <v>0</v>
      </c>
      <c r="DI56" s="14" t="e">
        <f t="shared" si="62"/>
        <v>#DIV/0!</v>
      </c>
      <c r="DJ56" s="11">
        <f t="shared" si="63"/>
        <v>0</v>
      </c>
      <c r="DK56" s="11">
        <f t="shared" si="64"/>
        <v>0</v>
      </c>
      <c r="DL56" s="29"/>
      <c r="DM56" s="7"/>
      <c r="DN56" s="7"/>
      <c r="DO56" s="7"/>
      <c r="DP56" s="12" t="e">
        <f t="shared" si="32"/>
        <v>#DIV/0!</v>
      </c>
      <c r="DQ56" s="15"/>
    </row>
    <row r="57" spans="1:122" x14ac:dyDescent="0.3">
      <c r="A57" s="1"/>
      <c r="C57" s="7"/>
      <c r="D57" s="7"/>
      <c r="E57" s="7"/>
      <c r="F57" s="7"/>
      <c r="G57" s="7"/>
      <c r="H57" s="7"/>
      <c r="I57" s="7"/>
      <c r="J57" s="7"/>
      <c r="K57" s="16">
        <f t="shared" si="33"/>
        <v>0</v>
      </c>
      <c r="L57" s="7"/>
      <c r="M57" s="7"/>
      <c r="N57" s="14"/>
      <c r="O57" s="13">
        <f t="shared" si="34"/>
        <v>0</v>
      </c>
      <c r="P57" s="14"/>
      <c r="Q57" s="7">
        <f t="shared" si="35"/>
        <v>0</v>
      </c>
      <c r="R57" s="8"/>
      <c r="S57" s="8"/>
      <c r="T57" s="7"/>
      <c r="U57" s="7"/>
      <c r="V57" s="14"/>
      <c r="W57" s="7">
        <f t="shared" si="36"/>
        <v>0</v>
      </c>
      <c r="X57" s="14"/>
      <c r="Y57" s="7">
        <f t="shared" si="37"/>
        <v>0</v>
      </c>
      <c r="Z57" s="9"/>
      <c r="AA57" s="9"/>
      <c r="AB57" s="7"/>
      <c r="AC57" s="7"/>
      <c r="AD57" s="14"/>
      <c r="AE57" s="7">
        <f t="shared" si="38"/>
        <v>0</v>
      </c>
      <c r="AF57" s="14"/>
      <c r="AG57" s="7">
        <f t="shared" si="39"/>
        <v>0</v>
      </c>
      <c r="AH57" s="9"/>
      <c r="AI57" s="9"/>
      <c r="AJ57" s="7"/>
      <c r="AK57" s="7"/>
      <c r="AL57" s="14"/>
      <c r="AM57" s="7">
        <f t="shared" si="40"/>
        <v>0</v>
      </c>
      <c r="AN57" s="14"/>
      <c r="AO57" s="7">
        <f t="shared" si="41"/>
        <v>0</v>
      </c>
      <c r="AP57" s="9"/>
      <c r="AQ57" s="9"/>
      <c r="AR57" s="7"/>
      <c r="AS57" s="7"/>
      <c r="AT57" s="14"/>
      <c r="AU57" s="7">
        <f t="shared" si="42"/>
        <v>0</v>
      </c>
      <c r="AV57" s="14"/>
      <c r="AW57" s="7">
        <f t="shared" si="43"/>
        <v>0</v>
      </c>
      <c r="AX57" s="9"/>
      <c r="AY57" s="9"/>
      <c r="AZ57" s="7"/>
      <c r="BA57" s="7"/>
      <c r="BB57" s="14"/>
      <c r="BC57" s="7">
        <f t="shared" si="44"/>
        <v>0</v>
      </c>
      <c r="BD57" s="14"/>
      <c r="BE57" s="7">
        <f t="shared" si="45"/>
        <v>0</v>
      </c>
      <c r="BF57" s="9"/>
      <c r="BG57" s="9"/>
      <c r="BH57" s="7"/>
      <c r="BI57" s="7"/>
      <c r="BJ57" s="14"/>
      <c r="BK57" s="7">
        <f t="shared" si="46"/>
        <v>0</v>
      </c>
      <c r="BL57" s="14"/>
      <c r="BM57" s="7">
        <f t="shared" si="47"/>
        <v>0</v>
      </c>
      <c r="BN57" s="9"/>
      <c r="BO57" s="9"/>
      <c r="BP57" s="7"/>
      <c r="BQ57" s="7"/>
      <c r="BR57" s="14"/>
      <c r="BS57" s="7">
        <f t="shared" si="48"/>
        <v>0</v>
      </c>
      <c r="BT57" s="14"/>
      <c r="BU57" s="7">
        <f t="shared" si="49"/>
        <v>0</v>
      </c>
      <c r="BV57" s="9"/>
      <c r="BW57" s="9"/>
      <c r="BX57" s="7"/>
      <c r="BY57" s="7"/>
      <c r="BZ57" s="10"/>
      <c r="CA57" s="7">
        <f t="shared" si="50"/>
        <v>0</v>
      </c>
      <c r="CB57" s="14"/>
      <c r="CC57" s="7">
        <f t="shared" si="51"/>
        <v>0</v>
      </c>
      <c r="CD57" s="9"/>
      <c r="CE57" s="9"/>
      <c r="CF57" s="7"/>
      <c r="CG57" s="7"/>
      <c r="CH57" s="14"/>
      <c r="CI57" s="7">
        <f t="shared" si="52"/>
        <v>0</v>
      </c>
      <c r="CJ57" s="14"/>
      <c r="CK57" s="13">
        <f t="shared" si="53"/>
        <v>0</v>
      </c>
      <c r="CL57" s="9"/>
      <c r="CM57" s="9"/>
      <c r="CN57" s="7"/>
      <c r="CO57" s="7"/>
      <c r="CP57" s="14"/>
      <c r="CQ57" s="13">
        <f t="shared" si="54"/>
        <v>0</v>
      </c>
      <c r="CR57" s="14"/>
      <c r="CS57" s="13">
        <f t="shared" si="55"/>
        <v>0</v>
      </c>
      <c r="CT57" s="9"/>
      <c r="CU57" s="9"/>
      <c r="CV57" s="7"/>
      <c r="CW57" s="7"/>
      <c r="CX57" s="14"/>
      <c r="CY57" s="13">
        <f t="shared" si="56"/>
        <v>0</v>
      </c>
      <c r="CZ57" s="14"/>
      <c r="DA57" s="7">
        <f t="shared" si="57"/>
        <v>0</v>
      </c>
      <c r="DB57" s="9"/>
      <c r="DC57" s="9"/>
      <c r="DD57" s="7">
        <f t="shared" si="25"/>
        <v>0</v>
      </c>
      <c r="DE57" s="7">
        <f t="shared" si="58"/>
        <v>0</v>
      </c>
      <c r="DF57" s="10" t="e">
        <f t="shared" si="59"/>
        <v>#DIV/0!</v>
      </c>
      <c r="DG57" s="7">
        <f t="shared" si="60"/>
        <v>0</v>
      </c>
      <c r="DH57" s="7">
        <f t="shared" si="61"/>
        <v>0</v>
      </c>
      <c r="DI57" s="14" t="e">
        <f t="shared" si="62"/>
        <v>#DIV/0!</v>
      </c>
      <c r="DJ57" s="11">
        <f t="shared" si="63"/>
        <v>0</v>
      </c>
      <c r="DK57" s="11">
        <f t="shared" si="64"/>
        <v>0</v>
      </c>
      <c r="DL57" s="29"/>
      <c r="DM57" s="7"/>
      <c r="DN57" s="7"/>
      <c r="DO57" s="7"/>
      <c r="DP57" s="12" t="e">
        <f t="shared" si="32"/>
        <v>#DIV/0!</v>
      </c>
      <c r="DQ57" s="15"/>
    </row>
    <row r="58" spans="1:122" x14ac:dyDescent="0.3">
      <c r="A58" s="1"/>
      <c r="C58" s="7"/>
      <c r="D58" s="7"/>
      <c r="E58" s="7"/>
      <c r="F58" s="7"/>
      <c r="G58" s="7"/>
      <c r="H58" s="7"/>
      <c r="I58" s="7"/>
      <c r="J58" s="7"/>
      <c r="K58" s="16">
        <f t="shared" si="33"/>
        <v>0</v>
      </c>
      <c r="L58" s="7"/>
      <c r="M58" s="7"/>
      <c r="N58" s="14"/>
      <c r="O58" s="13">
        <f t="shared" si="34"/>
        <v>0</v>
      </c>
      <c r="P58" s="14"/>
      <c r="Q58" s="7">
        <f t="shared" si="35"/>
        <v>0</v>
      </c>
      <c r="R58" s="8"/>
      <c r="S58" s="8"/>
      <c r="T58" s="7"/>
      <c r="U58" s="7"/>
      <c r="V58" s="14"/>
      <c r="W58" s="7">
        <f t="shared" si="36"/>
        <v>0</v>
      </c>
      <c r="X58" s="14"/>
      <c r="Y58" s="7">
        <f t="shared" si="37"/>
        <v>0</v>
      </c>
      <c r="Z58" s="9"/>
      <c r="AA58" s="9"/>
      <c r="AB58" s="7"/>
      <c r="AC58" s="7"/>
      <c r="AD58" s="14"/>
      <c r="AE58" s="7">
        <f t="shared" si="38"/>
        <v>0</v>
      </c>
      <c r="AF58" s="14"/>
      <c r="AG58" s="7">
        <f t="shared" si="39"/>
        <v>0</v>
      </c>
      <c r="AH58" s="9"/>
      <c r="AI58" s="9"/>
      <c r="AJ58" s="7"/>
      <c r="AK58" s="7"/>
      <c r="AL58" s="14"/>
      <c r="AM58" s="7">
        <f t="shared" si="40"/>
        <v>0</v>
      </c>
      <c r="AN58" s="14"/>
      <c r="AO58" s="7">
        <f t="shared" si="41"/>
        <v>0</v>
      </c>
      <c r="AP58" s="9"/>
      <c r="AQ58" s="9"/>
      <c r="AR58" s="7"/>
      <c r="AS58" s="7"/>
      <c r="AT58" s="14"/>
      <c r="AU58" s="7">
        <f t="shared" si="42"/>
        <v>0</v>
      </c>
      <c r="AV58" s="14"/>
      <c r="AW58" s="7">
        <f t="shared" si="43"/>
        <v>0</v>
      </c>
      <c r="AX58" s="9"/>
      <c r="AY58" s="9"/>
      <c r="AZ58" s="7"/>
      <c r="BA58" s="7"/>
      <c r="BB58" s="14"/>
      <c r="BC58" s="7">
        <f t="shared" si="44"/>
        <v>0</v>
      </c>
      <c r="BD58" s="14"/>
      <c r="BE58" s="7">
        <f t="shared" si="45"/>
        <v>0</v>
      </c>
      <c r="BF58" s="9"/>
      <c r="BG58" s="9"/>
      <c r="BH58" s="7"/>
      <c r="BI58" s="7"/>
      <c r="BJ58" s="14"/>
      <c r="BK58" s="7">
        <f t="shared" si="46"/>
        <v>0</v>
      </c>
      <c r="BL58" s="14"/>
      <c r="BM58" s="7">
        <f t="shared" si="47"/>
        <v>0</v>
      </c>
      <c r="BN58" s="9"/>
      <c r="BO58" s="9"/>
      <c r="BP58" s="7"/>
      <c r="BQ58" s="7"/>
      <c r="BR58" s="14"/>
      <c r="BS58" s="7">
        <f t="shared" si="48"/>
        <v>0</v>
      </c>
      <c r="BT58" s="14"/>
      <c r="BU58" s="7">
        <f t="shared" si="49"/>
        <v>0</v>
      </c>
      <c r="BV58" s="9"/>
      <c r="BW58" s="9"/>
      <c r="BX58" s="7"/>
      <c r="BY58" s="7"/>
      <c r="BZ58" s="10"/>
      <c r="CA58" s="7">
        <f t="shared" si="50"/>
        <v>0</v>
      </c>
      <c r="CB58" s="14"/>
      <c r="CC58" s="7">
        <f t="shared" si="51"/>
        <v>0</v>
      </c>
      <c r="CD58" s="9"/>
      <c r="CE58" s="9"/>
      <c r="CF58" s="7"/>
      <c r="CG58" s="7"/>
      <c r="CH58" s="14"/>
      <c r="CI58" s="7">
        <f t="shared" si="52"/>
        <v>0</v>
      </c>
      <c r="CJ58" s="14"/>
      <c r="CK58" s="13">
        <f t="shared" si="53"/>
        <v>0</v>
      </c>
      <c r="CL58" s="9"/>
      <c r="CM58" s="9"/>
      <c r="CN58" s="7"/>
      <c r="CO58" s="7"/>
      <c r="CP58" s="14"/>
      <c r="CQ58" s="13">
        <f t="shared" si="54"/>
        <v>0</v>
      </c>
      <c r="CR58" s="14"/>
      <c r="CS58" s="13">
        <f t="shared" si="55"/>
        <v>0</v>
      </c>
      <c r="CT58" s="9"/>
      <c r="CU58" s="9"/>
      <c r="CV58" s="7"/>
      <c r="CW58" s="7"/>
      <c r="CX58" s="14"/>
      <c r="CY58" s="13">
        <f t="shared" si="56"/>
        <v>0</v>
      </c>
      <c r="CZ58" s="14"/>
      <c r="DA58" s="7">
        <f t="shared" si="57"/>
        <v>0</v>
      </c>
      <c r="DB58" s="9"/>
      <c r="DC58" s="9"/>
      <c r="DD58" s="7">
        <f t="shared" si="25"/>
        <v>0</v>
      </c>
      <c r="DE58" s="7">
        <f t="shared" si="58"/>
        <v>0</v>
      </c>
      <c r="DF58" s="10" t="e">
        <f t="shared" si="59"/>
        <v>#DIV/0!</v>
      </c>
      <c r="DG58" s="7">
        <f t="shared" si="60"/>
        <v>0</v>
      </c>
      <c r="DH58" s="7">
        <f t="shared" si="61"/>
        <v>0</v>
      </c>
      <c r="DI58" s="14" t="e">
        <f t="shared" si="62"/>
        <v>#DIV/0!</v>
      </c>
      <c r="DJ58" s="11">
        <f t="shared" si="63"/>
        <v>0</v>
      </c>
      <c r="DK58" s="11">
        <f t="shared" si="64"/>
        <v>0</v>
      </c>
      <c r="DL58" s="29"/>
      <c r="DM58" s="7"/>
      <c r="DN58" s="7"/>
      <c r="DO58" s="7"/>
      <c r="DP58" s="12" t="e">
        <f t="shared" si="32"/>
        <v>#DIV/0!</v>
      </c>
      <c r="DQ58" s="15"/>
    </row>
    <row r="59" spans="1:122" x14ac:dyDescent="0.3">
      <c r="A59" s="1"/>
      <c r="C59" s="7"/>
      <c r="D59" s="7"/>
      <c r="E59" s="7"/>
      <c r="F59" s="7"/>
      <c r="G59" s="7"/>
      <c r="H59" s="7"/>
      <c r="I59" s="7"/>
      <c r="J59" s="7"/>
      <c r="K59" s="16">
        <f t="shared" si="33"/>
        <v>0</v>
      </c>
      <c r="L59" s="7"/>
      <c r="M59" s="7"/>
      <c r="N59" s="14"/>
      <c r="O59" s="13">
        <f t="shared" si="34"/>
        <v>0</v>
      </c>
      <c r="P59" s="14"/>
      <c r="Q59" s="7">
        <f t="shared" si="35"/>
        <v>0</v>
      </c>
      <c r="R59" s="8"/>
      <c r="S59" s="8"/>
      <c r="T59" s="7"/>
      <c r="U59" s="7"/>
      <c r="V59" s="14"/>
      <c r="W59" s="7">
        <f t="shared" si="36"/>
        <v>0</v>
      </c>
      <c r="X59" s="14"/>
      <c r="Y59" s="7">
        <f t="shared" si="37"/>
        <v>0</v>
      </c>
      <c r="Z59" s="9"/>
      <c r="AA59" s="9"/>
      <c r="AB59" s="7"/>
      <c r="AC59" s="7"/>
      <c r="AD59" s="14"/>
      <c r="AE59" s="7">
        <f t="shared" si="38"/>
        <v>0</v>
      </c>
      <c r="AF59" s="14"/>
      <c r="AG59" s="7">
        <f t="shared" si="39"/>
        <v>0</v>
      </c>
      <c r="AH59" s="9"/>
      <c r="AI59" s="9"/>
      <c r="AJ59" s="7"/>
      <c r="AK59" s="7"/>
      <c r="AL59" s="14"/>
      <c r="AM59" s="7">
        <f t="shared" si="40"/>
        <v>0</v>
      </c>
      <c r="AN59" s="14"/>
      <c r="AO59" s="7">
        <f t="shared" si="41"/>
        <v>0</v>
      </c>
      <c r="AP59" s="9"/>
      <c r="AQ59" s="9"/>
      <c r="AR59" s="7"/>
      <c r="AS59" s="7"/>
      <c r="AT59" s="14"/>
      <c r="AU59" s="7">
        <f t="shared" si="42"/>
        <v>0</v>
      </c>
      <c r="AV59" s="14"/>
      <c r="AW59" s="7">
        <f t="shared" si="43"/>
        <v>0</v>
      </c>
      <c r="AX59" s="9"/>
      <c r="AY59" s="9"/>
      <c r="AZ59" s="7"/>
      <c r="BA59" s="7"/>
      <c r="BB59" s="14"/>
      <c r="BC59" s="7">
        <f t="shared" si="44"/>
        <v>0</v>
      </c>
      <c r="BD59" s="14"/>
      <c r="BE59" s="7">
        <f t="shared" si="45"/>
        <v>0</v>
      </c>
      <c r="BF59" s="9"/>
      <c r="BG59" s="9"/>
      <c r="BH59" s="7"/>
      <c r="BI59" s="7"/>
      <c r="BJ59" s="14"/>
      <c r="BK59" s="7">
        <f t="shared" si="46"/>
        <v>0</v>
      </c>
      <c r="BL59" s="14"/>
      <c r="BM59" s="7">
        <f t="shared" si="47"/>
        <v>0</v>
      </c>
      <c r="BN59" s="9"/>
      <c r="BO59" s="9"/>
      <c r="BP59" s="7"/>
      <c r="BQ59" s="7"/>
      <c r="BR59" s="14"/>
      <c r="BS59" s="7">
        <f t="shared" si="48"/>
        <v>0</v>
      </c>
      <c r="BT59" s="14"/>
      <c r="BU59" s="7">
        <f t="shared" si="49"/>
        <v>0</v>
      </c>
      <c r="BV59" s="9"/>
      <c r="BW59" s="9"/>
      <c r="BX59" s="7"/>
      <c r="BY59" s="7"/>
      <c r="BZ59" s="10"/>
      <c r="CA59" s="7">
        <f t="shared" si="50"/>
        <v>0</v>
      </c>
      <c r="CB59" s="14"/>
      <c r="CC59" s="7">
        <f t="shared" si="51"/>
        <v>0</v>
      </c>
      <c r="CD59" s="9"/>
      <c r="CE59" s="9"/>
      <c r="CF59" s="7"/>
      <c r="CG59" s="7"/>
      <c r="CH59" s="14"/>
      <c r="CI59" s="7">
        <f t="shared" si="52"/>
        <v>0</v>
      </c>
      <c r="CJ59" s="14"/>
      <c r="CK59" s="13">
        <f t="shared" si="53"/>
        <v>0</v>
      </c>
      <c r="CL59" s="9"/>
      <c r="CM59" s="9"/>
      <c r="CN59" s="7"/>
      <c r="CO59" s="7"/>
      <c r="CP59" s="14"/>
      <c r="CQ59" s="13">
        <f t="shared" si="54"/>
        <v>0</v>
      </c>
      <c r="CR59" s="14"/>
      <c r="CS59" s="13">
        <f t="shared" si="55"/>
        <v>0</v>
      </c>
      <c r="CT59" s="9"/>
      <c r="CU59" s="9"/>
      <c r="CV59" s="7"/>
      <c r="CW59" s="7"/>
      <c r="CX59" s="14"/>
      <c r="CY59" s="13">
        <f t="shared" si="56"/>
        <v>0</v>
      </c>
      <c r="CZ59" s="14"/>
      <c r="DA59" s="7">
        <f t="shared" si="57"/>
        <v>0</v>
      </c>
      <c r="DB59" s="9"/>
      <c r="DC59" s="9"/>
      <c r="DD59" s="7">
        <f t="shared" si="25"/>
        <v>0</v>
      </c>
      <c r="DE59" s="7">
        <f t="shared" si="58"/>
        <v>0</v>
      </c>
      <c r="DF59" s="10" t="e">
        <f t="shared" si="59"/>
        <v>#DIV/0!</v>
      </c>
      <c r="DG59" s="7">
        <f t="shared" si="60"/>
        <v>0</v>
      </c>
      <c r="DH59" s="7">
        <f t="shared" si="61"/>
        <v>0</v>
      </c>
      <c r="DI59" s="14" t="e">
        <f t="shared" si="62"/>
        <v>#DIV/0!</v>
      </c>
      <c r="DJ59" s="11">
        <f t="shared" si="63"/>
        <v>0</v>
      </c>
      <c r="DK59" s="11">
        <f t="shared" si="64"/>
        <v>0</v>
      </c>
      <c r="DL59" s="29"/>
      <c r="DM59" s="7"/>
      <c r="DN59" s="7"/>
      <c r="DO59" s="7"/>
      <c r="DP59" s="12" t="e">
        <f t="shared" si="32"/>
        <v>#DIV/0!</v>
      </c>
      <c r="DQ59" s="15"/>
    </row>
    <row r="60" spans="1:122" x14ac:dyDescent="0.3">
      <c r="B60" s="5" t="s">
        <v>123</v>
      </c>
      <c r="C60" s="26">
        <f>SUM(C5:C59)</f>
        <v>0</v>
      </c>
      <c r="D60" s="26">
        <f>SUM(D5:D59)</f>
        <v>0</v>
      </c>
      <c r="E60" s="26">
        <f>SUM(E5:E59)</f>
        <v>0</v>
      </c>
      <c r="F60" s="26">
        <f>SUM(F5:F59)</f>
        <v>0</v>
      </c>
      <c r="G60" s="26">
        <f>SUM(G5:G59)</f>
        <v>0</v>
      </c>
      <c r="H60" s="26">
        <f>SUM(H5:H59)</f>
        <v>0</v>
      </c>
      <c r="I60" s="26">
        <f>SUM(I5:I59)</f>
        <v>0</v>
      </c>
      <c r="J60" s="26">
        <f>SUM(J5:J59)</f>
        <v>0</v>
      </c>
      <c r="K60" s="26">
        <f>SUM(K5:K59)</f>
        <v>0</v>
      </c>
      <c r="L60" s="26">
        <f>SUM(L5:L59)</f>
        <v>0</v>
      </c>
      <c r="M60" s="26">
        <f>SUM(M5:M59)</f>
        <v>0</v>
      </c>
      <c r="N60" s="25" t="e">
        <f>O60/L60</f>
        <v>#DIV/0!</v>
      </c>
      <c r="O60" s="26">
        <f>SUM(O5:O59)</f>
        <v>0</v>
      </c>
      <c r="P60" s="25" t="e">
        <f>Q60/M60</f>
        <v>#DIV/0!</v>
      </c>
      <c r="Q60" s="26">
        <f>SUM(Q5:Q59)</f>
        <v>0</v>
      </c>
      <c r="R60" s="27">
        <f>SUM(R5:R59)</f>
        <v>0</v>
      </c>
      <c r="S60" s="27">
        <f>SUM(S5:S59)</f>
        <v>0</v>
      </c>
      <c r="T60" s="26">
        <f>SUM(T5:T59)</f>
        <v>0</v>
      </c>
      <c r="U60" s="26">
        <f>SUM(U5:U59)</f>
        <v>0</v>
      </c>
      <c r="V60" s="25" t="e">
        <f>W60/T60</f>
        <v>#DIV/0!</v>
      </c>
      <c r="W60" s="26">
        <f>SUM(W5:W59)</f>
        <v>0</v>
      </c>
      <c r="X60" s="25" t="e">
        <f>Y60/U60</f>
        <v>#DIV/0!</v>
      </c>
      <c r="Y60" s="26">
        <f>SUM(Y5:Y59)</f>
        <v>0</v>
      </c>
      <c r="Z60" s="27">
        <f>SUM(Z5:Z59)</f>
        <v>0</v>
      </c>
      <c r="AA60" s="27">
        <f>SUM(AA5:AA59)</f>
        <v>0</v>
      </c>
      <c r="AB60" s="26">
        <f>SUM(AB5:AB59)</f>
        <v>0</v>
      </c>
      <c r="AC60" s="26">
        <f>SUM(AC5:AC59)</f>
        <v>0</v>
      </c>
      <c r="AD60" s="25" t="e">
        <f>AE60/AB60</f>
        <v>#DIV/0!</v>
      </c>
      <c r="AE60" s="26">
        <f>SUM(AE5:AE59)</f>
        <v>0</v>
      </c>
      <c r="AF60" s="25" t="e">
        <f>AG60/AC60</f>
        <v>#DIV/0!</v>
      </c>
      <c r="AG60" s="26">
        <f>SUM(AG5:AG59)</f>
        <v>0</v>
      </c>
      <c r="AH60" s="27">
        <f>SUM(AH5:AH59)</f>
        <v>0</v>
      </c>
      <c r="AI60" s="27">
        <f>SUM(AI5:AI59)</f>
        <v>0</v>
      </c>
      <c r="AJ60" s="26">
        <f>SUM(AJ5:AJ59)</f>
        <v>0</v>
      </c>
      <c r="AK60" s="26">
        <f>SUM(AK5:AK59)</f>
        <v>0</v>
      </c>
      <c r="AL60" s="25" t="e">
        <f>AM60/AJ60</f>
        <v>#DIV/0!</v>
      </c>
      <c r="AM60" s="26">
        <f>SUM(AM5:AM59)</f>
        <v>0</v>
      </c>
      <c r="AN60" s="25" t="e">
        <f>AO60/AK60</f>
        <v>#DIV/0!</v>
      </c>
      <c r="AO60" s="26">
        <f>SUM(AO5:AO59)</f>
        <v>0</v>
      </c>
      <c r="AP60" s="27">
        <f>SUM(AP5:AP59)</f>
        <v>0</v>
      </c>
      <c r="AQ60" s="27">
        <f>SUM(AQ5:AQ59)</f>
        <v>0</v>
      </c>
      <c r="AR60" s="26">
        <f>SUM(AR5:AR59)</f>
        <v>0</v>
      </c>
      <c r="AS60" s="26">
        <f>SUM(AS5:AS59)</f>
        <v>0</v>
      </c>
      <c r="AT60" s="25" t="e">
        <f>AU60/AR60</f>
        <v>#DIV/0!</v>
      </c>
      <c r="AU60" s="26">
        <f>SUM(AU5:AU59)</f>
        <v>0</v>
      </c>
      <c r="AV60" s="25" t="e">
        <f>AW60/AS60</f>
        <v>#DIV/0!</v>
      </c>
      <c r="AW60" s="26">
        <f>SUM(AW5:AW59)</f>
        <v>0</v>
      </c>
      <c r="AX60" s="27">
        <f>SUM(AX5:AX59)</f>
        <v>0</v>
      </c>
      <c r="AY60" s="27">
        <f>SUM(AY5:AY59)</f>
        <v>0</v>
      </c>
      <c r="AZ60" s="26">
        <f>SUM(AZ5:AZ59)</f>
        <v>0</v>
      </c>
      <c r="BA60" s="26">
        <f>SUM(BA5:BA59)</f>
        <v>0</v>
      </c>
      <c r="BB60" s="25" t="e">
        <f>BC60/AZ60</f>
        <v>#DIV/0!</v>
      </c>
      <c r="BC60" s="26">
        <f>SUM(BC5:BC59)</f>
        <v>0</v>
      </c>
      <c r="BD60" s="25" t="e">
        <f>BE60/BA60</f>
        <v>#DIV/0!</v>
      </c>
      <c r="BE60" s="26">
        <f>SUM(BE5:BE59)</f>
        <v>0</v>
      </c>
      <c r="BF60" s="27">
        <f>SUM(BF5:BF59)</f>
        <v>0</v>
      </c>
      <c r="BG60" s="27">
        <f>SUM(BG5:BG59)</f>
        <v>0</v>
      </c>
      <c r="BH60" s="26">
        <f>SUM(BH5:BH59)</f>
        <v>0</v>
      </c>
      <c r="BI60" s="26">
        <f>SUM(BI5:BI59)</f>
        <v>0</v>
      </c>
      <c r="BJ60" s="25" t="e">
        <f>BK60/BH60</f>
        <v>#DIV/0!</v>
      </c>
      <c r="BK60" s="26">
        <f>SUM(BK5:BK59)</f>
        <v>0</v>
      </c>
      <c r="BL60" s="25" t="e">
        <f>BM60/BI60</f>
        <v>#DIV/0!</v>
      </c>
      <c r="BM60" s="26">
        <f>SUM(BM5:BM59)</f>
        <v>0</v>
      </c>
      <c r="BN60" s="27">
        <f>SUM(BN5:BN59)</f>
        <v>0</v>
      </c>
      <c r="BO60" s="27">
        <f>SUM(BO5:BO59)</f>
        <v>0</v>
      </c>
      <c r="BP60" s="26">
        <f>SUM(BP5:BP59)</f>
        <v>0</v>
      </c>
      <c r="BQ60" s="26">
        <f>SUM(BQ5:BQ59)</f>
        <v>0</v>
      </c>
      <c r="BR60" s="25" t="e">
        <f>BS60/BP60</f>
        <v>#DIV/0!</v>
      </c>
      <c r="BS60" s="26">
        <f>SUM(BS5:BS59)</f>
        <v>0</v>
      </c>
      <c r="BT60" s="25" t="e">
        <f>BU60/BQ60</f>
        <v>#DIV/0!</v>
      </c>
      <c r="BU60" s="26">
        <f>SUM(BU5:BU59)</f>
        <v>0</v>
      </c>
      <c r="BV60" s="26">
        <f>SUM(BV5:BV59)</f>
        <v>0</v>
      </c>
      <c r="BW60" s="26">
        <f>SUM(BW5:BW59)</f>
        <v>0</v>
      </c>
      <c r="BX60" s="26">
        <f>SUM(BX5:BX59)</f>
        <v>0</v>
      </c>
      <c r="BY60" s="26">
        <f>SUM(BY5:BY59)</f>
        <v>0</v>
      </c>
      <c r="BZ60" s="25" t="e">
        <f>CA60/BX60</f>
        <v>#DIV/0!</v>
      </c>
      <c r="CA60" s="26">
        <f>SUM(CA5:CA59)</f>
        <v>0</v>
      </c>
      <c r="CB60" s="25" t="e">
        <f>CC60/BY60</f>
        <v>#DIV/0!</v>
      </c>
      <c r="CC60" s="26">
        <f>SUM(CC5:CC59)</f>
        <v>0</v>
      </c>
      <c r="CD60" s="26">
        <f>SUM(CD5:CD59)</f>
        <v>0</v>
      </c>
      <c r="CE60" s="26">
        <f>SUM(CE5:CE59)</f>
        <v>0</v>
      </c>
      <c r="CF60" s="26">
        <f>SUM(CF5:CF59)</f>
        <v>93333.333333333314</v>
      </c>
      <c r="CG60" s="26">
        <f>SUM(CG5:CG59)</f>
        <v>124445.79444444447</v>
      </c>
      <c r="CH60" s="25">
        <f>CI60/CF60</f>
        <v>0.50239999999999996</v>
      </c>
      <c r="CI60" s="26">
        <f>SUM(CI5:CI59)</f>
        <v>46890.666666666657</v>
      </c>
      <c r="CJ60" s="25">
        <f>CK60/CG60</f>
        <v>0.50239454991626653</v>
      </c>
      <c r="CK60" s="26">
        <f>SUM(CK5:CK59)</f>
        <v>62520.888888888905</v>
      </c>
      <c r="CL60" s="26">
        <f>SUM(CL5:CL59)</f>
        <v>0</v>
      </c>
      <c r="CM60" s="26">
        <f>SUM(CM5:CM59)</f>
        <v>0</v>
      </c>
      <c r="CN60" s="26">
        <f>SUM(CN5:CN59)</f>
        <v>93333.333333333314</v>
      </c>
      <c r="CO60" s="26">
        <f>SUM(CO5:CO59)</f>
        <v>124444.44444444448</v>
      </c>
      <c r="CP60" s="25">
        <f>CQ60/CN60</f>
        <v>0.50239999999999996</v>
      </c>
      <c r="CQ60" s="26">
        <f>SUM(CQ5:CQ59)</f>
        <v>46890.666666666657</v>
      </c>
      <c r="CR60" s="25">
        <f>CS60/CO60</f>
        <v>0.50239999999999996</v>
      </c>
      <c r="CS60" s="26">
        <f>SUM(CS5:CS59)</f>
        <v>62520.888888888905</v>
      </c>
      <c r="CT60" s="26">
        <f>SUM(CT5:CT59)</f>
        <v>0</v>
      </c>
      <c r="CU60" s="26">
        <f>SUM(CU5:CU59)</f>
        <v>0</v>
      </c>
      <c r="CV60" s="26">
        <f>SUM(CV5:CV59)</f>
        <v>93333.333333333314</v>
      </c>
      <c r="CW60" s="26">
        <f>SUM(CW5:CW59)</f>
        <v>124444.44444444448</v>
      </c>
      <c r="CX60" s="25">
        <f>CY60/CV60</f>
        <v>0.50239999999999996</v>
      </c>
      <c r="CY60" s="26">
        <f>SUM(CY5:CY59)</f>
        <v>46890.666666666657</v>
      </c>
      <c r="CZ60" s="25">
        <f>DA60/CW60</f>
        <v>0.50239999999999996</v>
      </c>
      <c r="DA60" s="26">
        <f>SUM(DA5:DA59)</f>
        <v>62520.888888888905</v>
      </c>
      <c r="DB60" s="26">
        <f>SUM(DB5:DB59)</f>
        <v>0</v>
      </c>
      <c r="DC60" s="26">
        <f>SUM(DC5:DC59)</f>
        <v>0</v>
      </c>
      <c r="DD60" s="7">
        <f t="shared" si="25"/>
        <v>279999.99999999994</v>
      </c>
      <c r="DE60" s="26">
        <f>SUM(DE5:DE59)</f>
        <v>140672</v>
      </c>
      <c r="DF60" s="25">
        <f t="shared" ref="DF5:DF60" si="65">DE60/DD60</f>
        <v>0.50240000000000007</v>
      </c>
      <c r="DG60" s="26">
        <f>SUM(DG5:DG59)</f>
        <v>373334.68333333329</v>
      </c>
      <c r="DH60" s="26">
        <f>SUM(DH5:DH59)</f>
        <v>187562.66666666663</v>
      </c>
      <c r="DI60" s="25">
        <f t="shared" ref="DI5:DI60" si="66">DH60/DG60</f>
        <v>0.50239818329228358</v>
      </c>
      <c r="DJ60" s="26">
        <f>SUM(DJ5:DJ59)</f>
        <v>0</v>
      </c>
      <c r="DK60" s="26">
        <f>SUM(DK5:DK59)</f>
        <v>0</v>
      </c>
      <c r="DL60" s="30"/>
      <c r="DM60" s="26">
        <f>SUM(DM5:DM59)</f>
        <v>37318400</v>
      </c>
      <c r="DN60" s="26">
        <f>SUM(DN5:DN59)</f>
        <v>0</v>
      </c>
      <c r="DO60" s="26">
        <f>SUM(DO5:DO59)</f>
        <v>0</v>
      </c>
      <c r="DP60" s="25">
        <f t="shared" si="32"/>
        <v>7.5030012004801902E-3</v>
      </c>
      <c r="DQ60" s="26">
        <f>SUM(DQ5:DQ59)</f>
        <v>0</v>
      </c>
      <c r="DR60" s="2"/>
    </row>
    <row r="61" spans="1:122" x14ac:dyDescent="0.3">
      <c r="A61" s="31"/>
      <c r="B61" s="31"/>
      <c r="C61" s="31"/>
      <c r="D61" s="31"/>
      <c r="E61" s="31"/>
      <c r="F61" s="31"/>
      <c r="G61" s="31"/>
      <c r="H61" s="31"/>
      <c r="I61" s="31"/>
      <c r="J61" s="31"/>
      <c r="K61" s="31"/>
      <c r="L61" s="22"/>
      <c r="M61" s="22"/>
      <c r="O61" s="22"/>
      <c r="Q61" s="23"/>
    </row>
    <row r="62" spans="1:122" x14ac:dyDescent="0.3">
      <c r="O62" s="23"/>
      <c r="DD62" s="24"/>
      <c r="DM62" s="24"/>
      <c r="DN62" s="24"/>
      <c r="DO62" s="24"/>
      <c r="DP62" s="23"/>
    </row>
  </sheetData>
  <mergeCells count="1">
    <mergeCell ref="A61:K61"/>
  </mergeCells>
  <pageMargins left="0" right="0" top="0" bottom="0" header="0.3" footer="0.3"/>
  <pageSetup scale="50" orientation="landscape" horizontalDpi="0" verticalDpi="0" r:id="rId1"/>
  <ignoredErrors>
    <ignoredError sqref="N60 V60 AD60 AL60 AT60 BB60 BJ60 BR60 BZ60 CH60 CP60 CX60 AV60 BL60 BT60 CJ60 CR60 CB60 BD60" formula="1"/>
  </ignoredErrors>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Annual Sales Forecast Worksheet</vt:lpstr>
      <vt:lpstr>DMp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Chuck Kitchen 952-412-9068</dc:creator>
  <cp:keywords/>
  <dc:description/>
  <cp:lastModifiedBy>Chuck Kitchen</cp:lastModifiedBy>
  <cp:revision/>
  <dcterms:created xsi:type="dcterms:W3CDTF">2023-12-18T20:17:49Z</dcterms:created>
  <dcterms:modified xsi:type="dcterms:W3CDTF">2025-09-06T21:15:01Z</dcterms:modified>
  <cp:category/>
  <cp:contentStatus/>
</cp:coreProperties>
</file>